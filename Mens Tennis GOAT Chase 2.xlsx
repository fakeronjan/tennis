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slams over time" sheetId="1" r:id="rId5"/>
    <sheet state="visible" name="Graph of slams over time" sheetId="2" r:id="rId6"/>
    <sheet state="visible" name="# slams behind leader over time" sheetId="3" r:id="rId7"/>
    <sheet state="visible" name="Counts by slam" sheetId="4" r:id="rId8"/>
  </sheets>
  <definedNames>
    <definedName hidden="1" localSheetId="0" name="_xlnm._FilterDatabase">'List of slams over time'!$A$1:$L$33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<sst xmlns="http://schemas.openxmlformats.org/spreadsheetml/2006/main" count="60" uniqueCount="22">
  <si>
    <t>Year</t>
  </si>
  <si>
    <t>Slam #</t>
  </si>
  <si>
    <t>Slam Name</t>
  </si>
  <si>
    <t>RF</t>
  </si>
  <si>
    <t>RN</t>
  </si>
  <si>
    <t>NJ</t>
  </si>
  <si>
    <t>CA</t>
  </si>
  <si>
    <t>JS</t>
  </si>
  <si>
    <t>Federer</t>
  </si>
  <si>
    <t>Nadal</t>
  </si>
  <si>
    <t>Djokovic</t>
  </si>
  <si>
    <t>Alcaraz</t>
  </si>
  <si>
    <t>Sinner</t>
  </si>
  <si>
    <t>Australian</t>
  </si>
  <si>
    <t>French</t>
  </si>
  <si>
    <t>Wimbledon</t>
  </si>
  <si>
    <t>US</t>
  </si>
  <si>
    <t>SUM of RF</t>
  </si>
  <si>
    <t>SUM of RN</t>
  </si>
  <si>
    <t>SUM of NJ</t>
  </si>
  <si>
    <t>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</si>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</sst>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7" Type="http://schemas.openxmlformats.org/officeDocument/2006/relationships/chartsheet" Target="chartsheets/sheet2.xml"/><Relationship Id="rId8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Federer, Nadal and Djokovic Slam Chase - # titles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'List of slams over time'!$J$1</c:f>
            </c:strRef>
          </c:tx>
          <c:spPr>
            <a:ln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'List of slams over time'!$I$2:$I$33</c:f>
            </c:strRef>
          </c:cat>
          <c:val>
            <c:numRef>
              <c:f>'List of slams over time'!$J$2:$J$33</c:f>
              <c:numCache/>
            </c:numRef>
          </c:val>
          <c:smooth val="0"/>
        </c:ser>
        <c:ser>
          <c:idx val="1"/>
          <c:order val="1"/>
          <c:tx>
            <c:strRef>
              <c:f>'List of slams over time'!$K$1</c:f>
            </c:strRef>
          </c:tx>
          <c:spPr>
            <a:ln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'List of slams over time'!$I$2:$I$33</c:f>
            </c:strRef>
          </c:cat>
          <c:val>
            <c:numRef>
              <c:f>'List of slams over time'!$K$2:$K$33</c:f>
              <c:numCache/>
            </c:numRef>
          </c:val>
          <c:smooth val="0"/>
        </c:ser>
        <c:ser>
          <c:idx val="2"/>
          <c:order val="2"/>
          <c:tx>
            <c:strRef>
              <c:f>'List of slams over time'!$L$1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'List of slams over time'!$I$2:$I$33</c:f>
            </c:strRef>
          </c:cat>
          <c:val>
            <c:numRef>
              <c:f>'List of slams over time'!$L$2:$L$33</c:f>
              <c:numCache/>
            </c:numRef>
          </c:val>
          <c:smooth val="0"/>
        </c:ser>
        <c:ser>
          <c:idx val="3"/>
          <c:order val="3"/>
          <c:tx>
            <c:strRef>
              <c:f>'List of slams over time'!$M$1</c:f>
            </c:strRef>
          </c:tx>
          <c:spPr>
            <a:ln cmpd="sng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'List of slams over time'!$I$2:$I$33</c:f>
            </c:strRef>
          </c:cat>
          <c:val>
            <c:numRef>
              <c:f>'List of slams over time'!$M$2:$M$33</c:f>
              <c:numCache/>
            </c:numRef>
          </c:val>
          <c:smooth val="0"/>
        </c:ser>
        <c:ser>
          <c:idx val="4"/>
          <c:order val="4"/>
          <c:tx>
            <c:strRef>
              <c:f>'List of slams over time'!$N$1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'List of slams over time'!$I$2:$I$33</c:f>
            </c:strRef>
          </c:cat>
          <c:val>
            <c:numRef>
              <c:f>'List of slams over time'!$N$2:$N$33</c:f>
              <c:numCache/>
            </c:numRef>
          </c:val>
          <c:smooth val="0"/>
        </c:ser>
        <c:axId val="848270091"/>
        <c:axId val="163297077"/>
      </c:lineChart>
      <c:catAx>
        <c:axId val="8482700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 - Slam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297077"/>
      </c:catAx>
      <c:valAx>
        <c:axId val="1632970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82700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Federer, Nadal and Djokovic Mountain Climb - # of slams behind all-time leader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'List of slams over time'!$P$1</c:f>
            </c:strRef>
          </c:tx>
          <c:spPr>
            <a:ln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'List of slams over time'!$I$2:$I$33</c:f>
            </c:strRef>
          </c:cat>
          <c:val>
            <c:numRef>
              <c:f>'List of slams over time'!$P$2:$P$33</c:f>
              <c:numCache/>
            </c:numRef>
          </c:val>
          <c:smooth val="0"/>
        </c:ser>
        <c:ser>
          <c:idx val="1"/>
          <c:order val="1"/>
          <c:tx>
            <c:strRef>
              <c:f>'List of slams over time'!$Q$1</c:f>
            </c:strRef>
          </c:tx>
          <c:spPr>
            <a:ln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'List of slams over time'!$I$2:$I$33</c:f>
            </c:strRef>
          </c:cat>
          <c:val>
            <c:numRef>
              <c:f>'List of slams over time'!$Q$2:$Q$33</c:f>
              <c:numCache/>
            </c:numRef>
          </c:val>
          <c:smooth val="0"/>
        </c:ser>
        <c:ser>
          <c:idx val="2"/>
          <c:order val="2"/>
          <c:tx>
            <c:strRef>
              <c:f>'List of slams over time'!$R$1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'List of slams over time'!$I$2:$I$33</c:f>
            </c:strRef>
          </c:cat>
          <c:val>
            <c:numRef>
              <c:f>'List of slams over time'!$R$2:$R$33</c:f>
              <c:numCache/>
            </c:numRef>
          </c:val>
          <c:smooth val="0"/>
        </c:ser>
        <c:ser>
          <c:idx val="3"/>
          <c:order val="3"/>
          <c:tx>
            <c:strRef>
              <c:f>'List of slams over time'!$S$1</c:f>
            </c:strRef>
          </c:tx>
          <c:spPr>
            <a:ln cmpd="sng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'List of slams over time'!$I$2:$I$33</c:f>
            </c:strRef>
          </c:cat>
          <c:val>
            <c:numRef>
              <c:f>'List of slams over time'!$S$2:$S$33</c:f>
              <c:numCache/>
            </c:numRef>
          </c:val>
          <c:smooth val="0"/>
        </c:ser>
        <c:ser>
          <c:idx val="4"/>
          <c:order val="4"/>
          <c:tx>
            <c:strRef>
              <c:f>'List of slams over time'!$T$1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'List of slams over time'!$I$2:$I$33</c:f>
            </c:strRef>
          </c:cat>
          <c:val>
            <c:numRef>
              <c:f>'List of slams over time'!$T$2:$T$33</c:f>
              <c:numCache/>
            </c:numRef>
          </c:val>
          <c:smooth val="0"/>
        </c:ser>
        <c:axId val="803321711"/>
        <c:axId val="1530414866"/>
      </c:lineChart>
      <c:catAx>
        <c:axId val="803321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 - Slam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0414866"/>
      </c:catAx>
      <c:valAx>
        <c:axId val="15304148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33217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24" sheet="List of slams over time"/>
  </cacheSource>
  <cacheFields>
    <cacheField name="Year" numFmtId="0">
      <sharedItems containsSemiMixedTypes="0" containsString="0" containsNumber="1" containsInteger="1">
        <n v="2018.0"/>
        <n v="2019.0"/>
        <n v="2020.0"/>
        <n v="2021.0"/>
        <n v="2022.0"/>
        <n v="2023.0"/>
      </sharedItems>
    </cacheField>
    <cacheField name="Slam #" numFmtId="0">
      <sharedItems containsSemiMixedTypes="0" containsString="0" containsNumber="1" containsInteger="1">
        <n v="1.0"/>
        <n v="2.0"/>
        <n v="3.0"/>
        <n v="4.0"/>
      </sharedItems>
    </cacheField>
    <cacheField name="Slam Name" numFmtId="0">
      <sharedItems>
        <s v="Australian"/>
        <s v="French"/>
        <s v="Wimbledon"/>
        <s v="US"/>
      </sharedItems>
    </cacheField>
    <cacheField name="RF" numFmtId="0">
      <sharedItems containsString="0" containsBlank="1" containsNumber="1" containsInteger="1">
        <n v="1.0"/>
        <m/>
      </sharedItems>
    </cacheField>
    <cacheField name="RN" numFmtId="0">
      <sharedItems containsString="0" containsBlank="1" containsNumber="1" containsInteger="1">
        <m/>
        <n v="1.0"/>
      </sharedItems>
    </cacheField>
    <cacheField name="NJ" numFmtId="0">
      <sharedItems containsString="0" containsBlank="1" containsNumber="1" containsInteger="1">
        <m/>
        <n v="1.0"/>
      </sharedItems>
    </cacheField>
    <cacheField name="CA" numFmtId="0">
      <sharedItems containsString="0" containsBlank="1" containsNumber="1" containsInteger="1">
        <m/>
        <n v="1.0"/>
      </sharedItems>
    </cacheField>
    <cacheField name="JS" numFmtId="0">
      <sharedItems containsString="0" containsBlank="1">
        <m/>
      </sharedItems>
    </cacheField>
    <cacheField name="Year - Slam Name" numFmtId="0">
      <sharedItems>
        <s v="2018 - Australian"/>
        <s v="2018 - French"/>
        <s v="2018 - Wimbledon"/>
        <s v="2018 - US"/>
        <s v="2019 - Australian"/>
        <s v="2019 - French"/>
        <s v="2019 - Wimbledon"/>
        <s v="2019 - US"/>
        <s v="2020 - Australian"/>
        <s v="2020 - US"/>
        <s v="2020 - French"/>
        <s v="2021 - Australian"/>
        <s v="2021 - French"/>
        <s v="2021 - Wimbledon"/>
        <s v="2021 - US"/>
        <s v="2022 - Australian"/>
        <s v="2022 - French"/>
        <s v="2022 - Wimbledon"/>
        <s v="2022 - US"/>
        <s v="2023 - Australian"/>
        <s v="2023 - French"/>
        <s v="2023 - Wimbledon"/>
        <s v="2023 - US"/>
      </sharedItems>
    </cacheField>
    <cacheField name="Federer" numFmtId="0">
      <sharedItems containsSemiMixedTypes="0" containsString="0" containsNumber="1" containsInteger="1">
        <n v="20.0"/>
      </sharedItems>
    </cacheField>
    <cacheField name="Nadal" numFmtId="0">
      <sharedItems containsSemiMixedTypes="0" containsString="0" containsNumber="1" containsInteger="1">
        <n v="16.0"/>
        <n v="17.0"/>
        <n v="18.0"/>
        <n v="19.0"/>
        <n v="20.0"/>
        <n v="21.0"/>
        <n v="22.0"/>
      </sharedItems>
    </cacheField>
    <cacheField name="Djokovic" numFmtId="0">
      <sharedItems containsSemiMixedTypes="0" containsString="0" containsNumber="1" containsInteger="1"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unts by slam" cacheId="0" dataCaption="" compact="0" compactData="0">
  <location ref="A1:D6" firstHeaderRow="0" firstDataRow="2" firstDataCol="0"/>
  <pivotFields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lam #" compact="0" outline="0" multipleItemSelectionAllowed="1" showAll="0">
      <items>
        <item x="0"/>
        <item x="1"/>
        <item x="2"/>
        <item x="3"/>
        <item t="default"/>
      </items>
    </pivotField>
    <pivotField name="Slam Name" axis="axisRow" compact="0" outline="0" multipleItemSelectionAllowed="1" showAll="0" sortType="ascending">
      <items>
        <item x="0"/>
        <item x="1"/>
        <item x="3"/>
        <item x="2"/>
        <item t="default"/>
      </items>
    </pivotField>
    <pivotField name="RF" dataField="1" compact="0" outline="0" multipleItemSelectionAllowed="1" showAll="0">
      <items>
        <item x="0"/>
        <item x="1"/>
        <item t="default"/>
      </items>
    </pivotField>
    <pivotField name="RN" dataField="1" compact="0" outline="0" multipleItemSelectionAllowed="1" showAll="0">
      <items>
        <item x="0"/>
        <item x="1"/>
        <item t="default"/>
      </items>
    </pivotField>
    <pivotField name="NJ" dataField="1" compact="0" outline="0" multipleItemSelectionAllowed="1" showAll="0">
      <items>
        <item x="0"/>
        <item x="1"/>
        <item t="default"/>
      </items>
    </pivotField>
    <pivotField name="CA" compact="0" outline="0" multipleItemSelectionAllowed="1" showAll="0">
      <items>
        <item x="0"/>
        <item x="1"/>
        <item t="default"/>
      </items>
    </pivotField>
    <pivotField name="JS" compact="0" outline="0" multipleItemSelectionAllowed="1" showAll="0">
      <items>
        <item x="0"/>
        <item t="default"/>
      </items>
    </pivotField>
    <pivotField name="Year - Sla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Federer" compact="0" outline="0" multipleItemSelectionAllowed="1" showAll="0">
      <items>
        <item x="0"/>
        <item t="default"/>
      </items>
    </pivotField>
    <pivotField name="Nadal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jokov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2"/>
  </rowFields>
  <colFields>
    <field x="-2"/>
  </colFields>
  <dataFields>
    <dataField name="SUM of RF" fld="3" baseField="0"/>
    <dataField name="SUM of RN" fld="4" baseField="0"/>
    <dataField name="SUM of NJ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25"/>
    <col customWidth="1" min="4" max="6" width="5.63"/>
    <col customWidth="1" min="7" max="7" width="5.88"/>
    <col customWidth="1" min="8" max="8" width="5.5"/>
    <col customWidth="1" min="9" max="9" width="17.13"/>
    <col customWidth="1" min="16" max="16" width="14.5"/>
    <col customWidth="1" min="17" max="17" width="16.0"/>
    <col customWidth="1" min="18" max="18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tr">
        <f t="shared" ref="I1:I33" si="1">A1&amp;" - "&amp;C1</f>
        <v>Year - Slam Name</v>
      </c>
      <c r="J1" s="1" t="s">
        <v>8</v>
      </c>
      <c r="K1" s="1" t="s">
        <v>9</v>
      </c>
      <c r="L1" s="1" t="s">
        <v>10</v>
      </c>
      <c r="M1" s="2" t="s">
        <v>11</v>
      </c>
      <c r="N1" s="2" t="s">
        <v>12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</row>
    <row r="2">
      <c r="A2" s="3">
        <v>2018.0</v>
      </c>
      <c r="B2" s="3">
        <v>1.0</v>
      </c>
      <c r="C2" s="1" t="s">
        <v>13</v>
      </c>
      <c r="D2" s="1">
        <v>1.0</v>
      </c>
      <c r="G2" s="1"/>
      <c r="H2" s="1"/>
      <c r="I2" s="1" t="str">
        <f t="shared" si="1"/>
        <v>2018 - Australian</v>
      </c>
      <c r="J2" s="3">
        <v>20.0</v>
      </c>
      <c r="K2" s="3">
        <v>16.0</v>
      </c>
      <c r="L2" s="3">
        <v>12.0</v>
      </c>
      <c r="M2" s="1">
        <v>0.0</v>
      </c>
      <c r="N2" s="1">
        <v>0.0</v>
      </c>
      <c r="P2" s="3">
        <f t="shared" ref="P2:T2" si="2">-(max($J2:$L2)-J2)</f>
        <v>0</v>
      </c>
      <c r="Q2" s="3">
        <f t="shared" si="2"/>
        <v>-4</v>
      </c>
      <c r="R2" s="3">
        <f t="shared" si="2"/>
        <v>-8</v>
      </c>
      <c r="S2" s="3">
        <f t="shared" si="2"/>
        <v>-20</v>
      </c>
      <c r="T2" s="3">
        <f t="shared" si="2"/>
        <v>-20</v>
      </c>
    </row>
    <row r="3">
      <c r="A3" s="3">
        <v>2018.0</v>
      </c>
      <c r="B3" s="3">
        <v>2.0</v>
      </c>
      <c r="C3" s="1" t="s">
        <v>14</v>
      </c>
      <c r="E3" s="1">
        <v>1.0</v>
      </c>
      <c r="G3" s="1"/>
      <c r="H3" s="1"/>
      <c r="I3" s="1" t="str">
        <f t="shared" si="1"/>
        <v>2018 - French</v>
      </c>
      <c r="J3" s="3">
        <f t="shared" ref="J3:N3" si="3">J2+D3</f>
        <v>20</v>
      </c>
      <c r="K3" s="3">
        <f t="shared" si="3"/>
        <v>17</v>
      </c>
      <c r="L3" s="3">
        <f t="shared" si="3"/>
        <v>12</v>
      </c>
      <c r="M3" s="3">
        <f t="shared" si="3"/>
        <v>0</v>
      </c>
      <c r="N3" s="3">
        <f t="shared" si="3"/>
        <v>0</v>
      </c>
      <c r="P3" s="3">
        <f t="shared" ref="P3:T3" si="4">-(max($J3:$L3)-J3)</f>
        <v>0</v>
      </c>
      <c r="Q3" s="3">
        <f t="shared" si="4"/>
        <v>-3</v>
      </c>
      <c r="R3" s="3">
        <f t="shared" si="4"/>
        <v>-8</v>
      </c>
      <c r="S3" s="3">
        <f t="shared" si="4"/>
        <v>-20</v>
      </c>
      <c r="T3" s="3">
        <f t="shared" si="4"/>
        <v>-20</v>
      </c>
    </row>
    <row r="4">
      <c r="A4" s="3">
        <v>2018.0</v>
      </c>
      <c r="B4" s="3">
        <v>3.0</v>
      </c>
      <c r="C4" s="3" t="s">
        <v>15</v>
      </c>
      <c r="F4" s="1">
        <v>1.0</v>
      </c>
      <c r="G4" s="1"/>
      <c r="H4" s="1"/>
      <c r="I4" s="1" t="str">
        <f t="shared" si="1"/>
        <v>2018 - Wimbledon</v>
      </c>
      <c r="J4" s="3">
        <f t="shared" ref="J4:N4" si="5">J3+D4</f>
        <v>20</v>
      </c>
      <c r="K4" s="3">
        <f t="shared" si="5"/>
        <v>17</v>
      </c>
      <c r="L4" s="3">
        <f t="shared" si="5"/>
        <v>13</v>
      </c>
      <c r="M4" s="3">
        <f t="shared" si="5"/>
        <v>0</v>
      </c>
      <c r="N4" s="3">
        <f t="shared" si="5"/>
        <v>0</v>
      </c>
      <c r="P4" s="3">
        <f t="shared" ref="P4:T4" si="6">-(max($J4:$L4)-J4)</f>
        <v>0</v>
      </c>
      <c r="Q4" s="3">
        <f t="shared" si="6"/>
        <v>-3</v>
      </c>
      <c r="R4" s="3">
        <f t="shared" si="6"/>
        <v>-7</v>
      </c>
      <c r="S4" s="3">
        <f t="shared" si="6"/>
        <v>-20</v>
      </c>
      <c r="T4" s="3">
        <f t="shared" si="6"/>
        <v>-20</v>
      </c>
    </row>
    <row r="5">
      <c r="A5" s="3">
        <v>2018.0</v>
      </c>
      <c r="B5" s="3">
        <v>4.0</v>
      </c>
      <c r="C5" s="1" t="s">
        <v>16</v>
      </c>
      <c r="F5" s="1">
        <v>1.0</v>
      </c>
      <c r="G5" s="1"/>
      <c r="H5" s="1"/>
      <c r="I5" s="1" t="str">
        <f t="shared" si="1"/>
        <v>2018 - US</v>
      </c>
      <c r="J5" s="3">
        <f t="shared" ref="J5:N5" si="7">J4+D5</f>
        <v>20</v>
      </c>
      <c r="K5" s="3">
        <f t="shared" si="7"/>
        <v>17</v>
      </c>
      <c r="L5" s="3">
        <f t="shared" si="7"/>
        <v>14</v>
      </c>
      <c r="M5" s="3">
        <f t="shared" si="7"/>
        <v>0</v>
      </c>
      <c r="N5" s="3">
        <f t="shared" si="7"/>
        <v>0</v>
      </c>
      <c r="P5" s="3">
        <f t="shared" ref="P5:T5" si="8">-(max($J5:$L5)-J5)</f>
        <v>0</v>
      </c>
      <c r="Q5" s="3">
        <f t="shared" si="8"/>
        <v>-3</v>
      </c>
      <c r="R5" s="3">
        <f t="shared" si="8"/>
        <v>-6</v>
      </c>
      <c r="S5" s="3">
        <f t="shared" si="8"/>
        <v>-20</v>
      </c>
      <c r="T5" s="3">
        <f t="shared" si="8"/>
        <v>-20</v>
      </c>
    </row>
    <row r="6">
      <c r="A6" s="3">
        <v>2019.0</v>
      </c>
      <c r="B6" s="3">
        <v>1.0</v>
      </c>
      <c r="C6" s="1" t="s">
        <v>13</v>
      </c>
      <c r="F6" s="1">
        <v>1.0</v>
      </c>
      <c r="G6" s="1"/>
      <c r="H6" s="1"/>
      <c r="I6" s="1" t="str">
        <f t="shared" si="1"/>
        <v>2019 - Australian</v>
      </c>
      <c r="J6" s="3">
        <f t="shared" ref="J6:N6" si="9">J5+D6</f>
        <v>20</v>
      </c>
      <c r="K6" s="3">
        <f t="shared" si="9"/>
        <v>17</v>
      </c>
      <c r="L6" s="3">
        <f t="shared" si="9"/>
        <v>15</v>
      </c>
      <c r="M6" s="3">
        <f t="shared" si="9"/>
        <v>0</v>
      </c>
      <c r="N6" s="3">
        <f t="shared" si="9"/>
        <v>0</v>
      </c>
      <c r="P6" s="3">
        <f t="shared" ref="P6:T6" si="10">-(max($J6:$L6)-J6)</f>
        <v>0</v>
      </c>
      <c r="Q6" s="3">
        <f t="shared" si="10"/>
        <v>-3</v>
      </c>
      <c r="R6" s="3">
        <f t="shared" si="10"/>
        <v>-5</v>
      </c>
      <c r="S6" s="3">
        <f t="shared" si="10"/>
        <v>-20</v>
      </c>
      <c r="T6" s="3">
        <f t="shared" si="10"/>
        <v>-20</v>
      </c>
    </row>
    <row r="7">
      <c r="A7" s="3">
        <v>2019.0</v>
      </c>
      <c r="B7" s="3">
        <v>2.0</v>
      </c>
      <c r="C7" s="1" t="s">
        <v>14</v>
      </c>
      <c r="E7" s="1">
        <v>1.0</v>
      </c>
      <c r="G7" s="1"/>
      <c r="H7" s="1"/>
      <c r="I7" s="1" t="str">
        <f t="shared" si="1"/>
        <v>2019 - French</v>
      </c>
      <c r="J7" s="3">
        <f t="shared" ref="J7:N7" si="11">J6+D7</f>
        <v>20</v>
      </c>
      <c r="K7" s="3">
        <f t="shared" si="11"/>
        <v>18</v>
      </c>
      <c r="L7" s="3">
        <f t="shared" si="11"/>
        <v>15</v>
      </c>
      <c r="M7" s="3">
        <f t="shared" si="11"/>
        <v>0</v>
      </c>
      <c r="N7" s="3">
        <f t="shared" si="11"/>
        <v>0</v>
      </c>
      <c r="P7" s="3">
        <f t="shared" ref="P7:T7" si="12">-(max($J7:$L7)-J7)</f>
        <v>0</v>
      </c>
      <c r="Q7" s="3">
        <f t="shared" si="12"/>
        <v>-2</v>
      </c>
      <c r="R7" s="3">
        <f t="shared" si="12"/>
        <v>-5</v>
      </c>
      <c r="S7" s="3">
        <f t="shared" si="12"/>
        <v>-20</v>
      </c>
      <c r="T7" s="3">
        <f t="shared" si="12"/>
        <v>-20</v>
      </c>
    </row>
    <row r="8">
      <c r="A8" s="3">
        <v>2019.0</v>
      </c>
      <c r="B8" s="3">
        <v>3.0</v>
      </c>
      <c r="C8" s="3" t="s">
        <v>15</v>
      </c>
      <c r="F8" s="1">
        <v>1.0</v>
      </c>
      <c r="G8" s="1"/>
      <c r="H8" s="1"/>
      <c r="I8" s="1" t="str">
        <f t="shared" si="1"/>
        <v>2019 - Wimbledon</v>
      </c>
      <c r="J8" s="3">
        <f t="shared" ref="J8:N8" si="13">J7+D8</f>
        <v>20</v>
      </c>
      <c r="K8" s="3">
        <f t="shared" si="13"/>
        <v>18</v>
      </c>
      <c r="L8" s="3">
        <f t="shared" si="13"/>
        <v>16</v>
      </c>
      <c r="M8" s="3">
        <f t="shared" si="13"/>
        <v>0</v>
      </c>
      <c r="N8" s="3">
        <f t="shared" si="13"/>
        <v>0</v>
      </c>
      <c r="P8" s="3">
        <f t="shared" ref="P8:T8" si="14">-(max($J8:$L8)-J8)</f>
        <v>0</v>
      </c>
      <c r="Q8" s="3">
        <f t="shared" si="14"/>
        <v>-2</v>
      </c>
      <c r="R8" s="3">
        <f t="shared" si="14"/>
        <v>-4</v>
      </c>
      <c r="S8" s="3">
        <f t="shared" si="14"/>
        <v>-20</v>
      </c>
      <c r="T8" s="3">
        <f t="shared" si="14"/>
        <v>-20</v>
      </c>
    </row>
    <row r="9">
      <c r="A9" s="3">
        <v>2019.0</v>
      </c>
      <c r="B9" s="3">
        <v>4.0</v>
      </c>
      <c r="C9" s="1" t="s">
        <v>16</v>
      </c>
      <c r="E9" s="1">
        <v>1.0</v>
      </c>
      <c r="G9" s="1"/>
      <c r="H9" s="1"/>
      <c r="I9" s="1" t="str">
        <f t="shared" si="1"/>
        <v>2019 - US</v>
      </c>
      <c r="J9" s="3">
        <f t="shared" ref="J9:N9" si="15">J8+D9</f>
        <v>20</v>
      </c>
      <c r="K9" s="3">
        <f t="shared" si="15"/>
        <v>19</v>
      </c>
      <c r="L9" s="3">
        <f t="shared" si="15"/>
        <v>16</v>
      </c>
      <c r="M9" s="3">
        <f t="shared" si="15"/>
        <v>0</v>
      </c>
      <c r="N9" s="3">
        <f t="shared" si="15"/>
        <v>0</v>
      </c>
      <c r="P9" s="3">
        <f t="shared" ref="P9:T9" si="16">-(max($J9:$L9)-J9)</f>
        <v>0</v>
      </c>
      <c r="Q9" s="3">
        <f t="shared" si="16"/>
        <v>-1</v>
      </c>
      <c r="R9" s="3">
        <f t="shared" si="16"/>
        <v>-4</v>
      </c>
      <c r="S9" s="3">
        <f t="shared" si="16"/>
        <v>-20</v>
      </c>
      <c r="T9" s="3">
        <f t="shared" si="16"/>
        <v>-20</v>
      </c>
    </row>
    <row r="10">
      <c r="A10" s="3">
        <v>2020.0</v>
      </c>
      <c r="B10" s="3">
        <v>1.0</v>
      </c>
      <c r="C10" s="1" t="s">
        <v>13</v>
      </c>
      <c r="F10" s="1">
        <v>1.0</v>
      </c>
      <c r="G10" s="1"/>
      <c r="H10" s="1"/>
      <c r="I10" s="1" t="str">
        <f t="shared" si="1"/>
        <v>2020 - Australian</v>
      </c>
      <c r="J10" s="3">
        <f t="shared" ref="J10:N10" si="17">J9+D10</f>
        <v>20</v>
      </c>
      <c r="K10" s="3">
        <f t="shared" si="17"/>
        <v>19</v>
      </c>
      <c r="L10" s="3">
        <f t="shared" si="17"/>
        <v>17</v>
      </c>
      <c r="M10" s="3">
        <f t="shared" si="17"/>
        <v>0</v>
      </c>
      <c r="N10" s="3">
        <f t="shared" si="17"/>
        <v>0</v>
      </c>
      <c r="P10" s="3">
        <f t="shared" ref="P10:T10" si="18">-(max($J10:$L10)-J10)</f>
        <v>0</v>
      </c>
      <c r="Q10" s="3">
        <f t="shared" si="18"/>
        <v>-1</v>
      </c>
      <c r="R10" s="3">
        <f t="shared" si="18"/>
        <v>-3</v>
      </c>
      <c r="S10" s="3">
        <f t="shared" si="18"/>
        <v>-20</v>
      </c>
      <c r="T10" s="3">
        <f t="shared" si="18"/>
        <v>-20</v>
      </c>
    </row>
    <row r="11">
      <c r="A11" s="3">
        <v>2020.0</v>
      </c>
      <c r="B11" s="1">
        <v>2.0</v>
      </c>
      <c r="C11" s="1" t="s">
        <v>16</v>
      </c>
      <c r="E11" s="1"/>
      <c r="G11" s="1"/>
      <c r="H11" s="1"/>
      <c r="I11" s="1" t="str">
        <f t="shared" si="1"/>
        <v>2020 - US</v>
      </c>
      <c r="J11" s="3">
        <f t="shared" ref="J11:N11" si="19">J10+D11</f>
        <v>20</v>
      </c>
      <c r="K11" s="3">
        <f t="shared" si="19"/>
        <v>19</v>
      </c>
      <c r="L11" s="3">
        <f t="shared" si="19"/>
        <v>17</v>
      </c>
      <c r="M11" s="3">
        <f t="shared" si="19"/>
        <v>0</v>
      </c>
      <c r="N11" s="3">
        <f t="shared" si="19"/>
        <v>0</v>
      </c>
      <c r="P11" s="3">
        <f t="shared" ref="P11:T11" si="20">-(max($J11:$L11)-J11)</f>
        <v>0</v>
      </c>
      <c r="Q11" s="3">
        <f t="shared" si="20"/>
        <v>-1</v>
      </c>
      <c r="R11" s="3">
        <f t="shared" si="20"/>
        <v>-3</v>
      </c>
      <c r="S11" s="3">
        <f t="shared" si="20"/>
        <v>-20</v>
      </c>
      <c r="T11" s="3">
        <f t="shared" si="20"/>
        <v>-20</v>
      </c>
    </row>
    <row r="12">
      <c r="A12" s="3">
        <v>2020.0</v>
      </c>
      <c r="B12" s="1">
        <v>3.0</v>
      </c>
      <c r="C12" s="1" t="s">
        <v>14</v>
      </c>
      <c r="E12" s="1">
        <v>1.0</v>
      </c>
      <c r="G12" s="1"/>
      <c r="H12" s="1"/>
      <c r="I12" s="1" t="str">
        <f t="shared" si="1"/>
        <v>2020 - French</v>
      </c>
      <c r="J12" s="3">
        <f t="shared" ref="J12:N12" si="21">J11+D12</f>
        <v>20</v>
      </c>
      <c r="K12" s="3">
        <f t="shared" si="21"/>
        <v>20</v>
      </c>
      <c r="L12" s="3">
        <f t="shared" si="21"/>
        <v>17</v>
      </c>
      <c r="M12" s="3">
        <f t="shared" si="21"/>
        <v>0</v>
      </c>
      <c r="N12" s="3">
        <f t="shared" si="21"/>
        <v>0</v>
      </c>
      <c r="P12" s="3">
        <f t="shared" ref="P12:T12" si="22">-(max($J12:$L12)-J12)</f>
        <v>0</v>
      </c>
      <c r="Q12" s="3">
        <f t="shared" si="22"/>
        <v>0</v>
      </c>
      <c r="R12" s="3">
        <f t="shared" si="22"/>
        <v>-3</v>
      </c>
      <c r="S12" s="3">
        <f t="shared" si="22"/>
        <v>-20</v>
      </c>
      <c r="T12" s="3">
        <f t="shared" si="22"/>
        <v>-20</v>
      </c>
    </row>
    <row r="13">
      <c r="A13" s="3">
        <v>2021.0</v>
      </c>
      <c r="B13" s="3">
        <v>1.0</v>
      </c>
      <c r="C13" s="1" t="s">
        <v>13</v>
      </c>
      <c r="F13" s="1">
        <v>1.0</v>
      </c>
      <c r="G13" s="1"/>
      <c r="H13" s="1"/>
      <c r="I13" s="1" t="str">
        <f t="shared" si="1"/>
        <v>2021 - Australian</v>
      </c>
      <c r="J13" s="3">
        <f t="shared" ref="J13:N13" si="23">J12+D13</f>
        <v>20</v>
      </c>
      <c r="K13" s="3">
        <f t="shared" si="23"/>
        <v>20</v>
      </c>
      <c r="L13" s="3">
        <f t="shared" si="23"/>
        <v>18</v>
      </c>
      <c r="M13" s="3">
        <f t="shared" si="23"/>
        <v>0</v>
      </c>
      <c r="N13" s="3">
        <f t="shared" si="23"/>
        <v>0</v>
      </c>
      <c r="P13" s="3">
        <f t="shared" ref="P13:T13" si="24">-(max($J13:$L13)-J13)</f>
        <v>0</v>
      </c>
      <c r="Q13" s="3">
        <f t="shared" si="24"/>
        <v>0</v>
      </c>
      <c r="R13" s="3">
        <f t="shared" si="24"/>
        <v>-2</v>
      </c>
      <c r="S13" s="3">
        <f t="shared" si="24"/>
        <v>-20</v>
      </c>
      <c r="T13" s="3">
        <f t="shared" si="24"/>
        <v>-20</v>
      </c>
    </row>
    <row r="14">
      <c r="A14" s="3">
        <v>2021.0</v>
      </c>
      <c r="B14" s="3">
        <v>2.0</v>
      </c>
      <c r="C14" s="1" t="s">
        <v>14</v>
      </c>
      <c r="F14" s="1">
        <v>1.0</v>
      </c>
      <c r="G14" s="1"/>
      <c r="H14" s="1"/>
      <c r="I14" s="1" t="str">
        <f t="shared" si="1"/>
        <v>2021 - French</v>
      </c>
      <c r="J14" s="3">
        <f t="shared" ref="J14:N14" si="25">J13+D14</f>
        <v>20</v>
      </c>
      <c r="K14" s="3">
        <f t="shared" si="25"/>
        <v>20</v>
      </c>
      <c r="L14" s="3">
        <f t="shared" si="25"/>
        <v>19</v>
      </c>
      <c r="M14" s="3">
        <f t="shared" si="25"/>
        <v>0</v>
      </c>
      <c r="N14" s="3">
        <f t="shared" si="25"/>
        <v>0</v>
      </c>
      <c r="P14" s="3">
        <f t="shared" ref="P14:T14" si="26">-(max($J14:$L14)-J14)</f>
        <v>0</v>
      </c>
      <c r="Q14" s="3">
        <f t="shared" si="26"/>
        <v>0</v>
      </c>
      <c r="R14" s="3">
        <f t="shared" si="26"/>
        <v>-1</v>
      </c>
      <c r="S14" s="3">
        <f t="shared" si="26"/>
        <v>-20</v>
      </c>
      <c r="T14" s="3">
        <f t="shared" si="26"/>
        <v>-20</v>
      </c>
    </row>
    <row r="15">
      <c r="A15" s="3">
        <v>2021.0</v>
      </c>
      <c r="B15" s="3">
        <v>3.0</v>
      </c>
      <c r="C15" s="3" t="s">
        <v>15</v>
      </c>
      <c r="F15" s="1">
        <v>1.0</v>
      </c>
      <c r="G15" s="1"/>
      <c r="H15" s="1"/>
      <c r="I15" s="1" t="str">
        <f t="shared" si="1"/>
        <v>2021 - Wimbledon</v>
      </c>
      <c r="J15" s="3">
        <f t="shared" ref="J15:N15" si="27">J14+D15</f>
        <v>20</v>
      </c>
      <c r="K15" s="3">
        <f t="shared" si="27"/>
        <v>20</v>
      </c>
      <c r="L15" s="3">
        <f t="shared" si="27"/>
        <v>20</v>
      </c>
      <c r="M15" s="3">
        <f t="shared" si="27"/>
        <v>0</v>
      </c>
      <c r="N15" s="3">
        <f t="shared" si="27"/>
        <v>0</v>
      </c>
      <c r="P15" s="3">
        <f t="shared" ref="P15:T15" si="28">-(max($J15:$L15)-J15)</f>
        <v>0</v>
      </c>
      <c r="Q15" s="3">
        <f t="shared" si="28"/>
        <v>0</v>
      </c>
      <c r="R15" s="3">
        <f t="shared" si="28"/>
        <v>0</v>
      </c>
      <c r="S15" s="3">
        <f t="shared" si="28"/>
        <v>-20</v>
      </c>
      <c r="T15" s="3">
        <f t="shared" si="28"/>
        <v>-20</v>
      </c>
    </row>
    <row r="16">
      <c r="A16" s="3">
        <v>2021.0</v>
      </c>
      <c r="B16" s="3">
        <v>4.0</v>
      </c>
      <c r="C16" s="1" t="s">
        <v>16</v>
      </c>
      <c r="G16" s="1"/>
      <c r="H16" s="1"/>
      <c r="I16" s="1" t="str">
        <f t="shared" si="1"/>
        <v>2021 - US</v>
      </c>
      <c r="J16" s="3">
        <f t="shared" ref="J16:N16" si="29">J15+D16</f>
        <v>20</v>
      </c>
      <c r="K16" s="3">
        <f t="shared" si="29"/>
        <v>20</v>
      </c>
      <c r="L16" s="3">
        <f t="shared" si="29"/>
        <v>20</v>
      </c>
      <c r="M16" s="3">
        <f t="shared" si="29"/>
        <v>0</v>
      </c>
      <c r="N16" s="3">
        <f t="shared" si="29"/>
        <v>0</v>
      </c>
      <c r="P16" s="3">
        <f t="shared" ref="P16:T16" si="30">-(max($J16:$L16)-J16)</f>
        <v>0</v>
      </c>
      <c r="Q16" s="3">
        <f t="shared" si="30"/>
        <v>0</v>
      </c>
      <c r="R16" s="3">
        <f t="shared" si="30"/>
        <v>0</v>
      </c>
      <c r="S16" s="3">
        <f t="shared" si="30"/>
        <v>-20</v>
      </c>
      <c r="T16" s="3">
        <f t="shared" si="30"/>
        <v>-20</v>
      </c>
    </row>
    <row r="17">
      <c r="A17" s="3">
        <v>2022.0</v>
      </c>
      <c r="B17" s="3">
        <v>1.0</v>
      </c>
      <c r="C17" s="1" t="s">
        <v>13</v>
      </c>
      <c r="E17" s="1">
        <v>1.0</v>
      </c>
      <c r="G17" s="1"/>
      <c r="H17" s="1"/>
      <c r="I17" s="1" t="str">
        <f t="shared" si="1"/>
        <v>2022 - Australian</v>
      </c>
      <c r="J17" s="3">
        <f t="shared" ref="J17:N17" si="31">J16+D17</f>
        <v>20</v>
      </c>
      <c r="K17" s="3">
        <f t="shared" si="31"/>
        <v>21</v>
      </c>
      <c r="L17" s="3">
        <f t="shared" si="31"/>
        <v>20</v>
      </c>
      <c r="M17" s="3">
        <f t="shared" si="31"/>
        <v>0</v>
      </c>
      <c r="N17" s="3">
        <f t="shared" si="31"/>
        <v>0</v>
      </c>
      <c r="P17" s="3">
        <f t="shared" ref="P17:T17" si="32">-(max($J17:$L17)-J17)</f>
        <v>-1</v>
      </c>
      <c r="Q17" s="3">
        <f t="shared" si="32"/>
        <v>0</v>
      </c>
      <c r="R17" s="3">
        <f t="shared" si="32"/>
        <v>-1</v>
      </c>
      <c r="S17" s="3">
        <f t="shared" si="32"/>
        <v>-21</v>
      </c>
      <c r="T17" s="3">
        <f t="shared" si="32"/>
        <v>-21</v>
      </c>
    </row>
    <row r="18">
      <c r="A18" s="3">
        <v>2022.0</v>
      </c>
      <c r="B18" s="3">
        <v>2.0</v>
      </c>
      <c r="C18" s="1" t="s">
        <v>14</v>
      </c>
      <c r="E18" s="1">
        <v>1.0</v>
      </c>
      <c r="G18" s="1"/>
      <c r="H18" s="1"/>
      <c r="I18" s="1" t="str">
        <f t="shared" si="1"/>
        <v>2022 - French</v>
      </c>
      <c r="J18" s="3">
        <f t="shared" ref="J18:N18" si="33">J17+D18</f>
        <v>20</v>
      </c>
      <c r="K18" s="3">
        <f t="shared" si="33"/>
        <v>22</v>
      </c>
      <c r="L18" s="3">
        <f t="shared" si="33"/>
        <v>20</v>
      </c>
      <c r="M18" s="3">
        <f t="shared" si="33"/>
        <v>0</v>
      </c>
      <c r="N18" s="3">
        <f t="shared" si="33"/>
        <v>0</v>
      </c>
      <c r="P18" s="3">
        <f t="shared" ref="P18:T18" si="34">-(max($J18:$L18)-J18)</f>
        <v>-2</v>
      </c>
      <c r="Q18" s="3">
        <f t="shared" si="34"/>
        <v>0</v>
      </c>
      <c r="R18" s="3">
        <f t="shared" si="34"/>
        <v>-2</v>
      </c>
      <c r="S18" s="3">
        <f t="shared" si="34"/>
        <v>-22</v>
      </c>
      <c r="T18" s="3">
        <f t="shared" si="34"/>
        <v>-22</v>
      </c>
    </row>
    <row r="19">
      <c r="A19" s="3">
        <v>2022.0</v>
      </c>
      <c r="B19" s="3">
        <v>3.0</v>
      </c>
      <c r="C19" s="3" t="s">
        <v>15</v>
      </c>
      <c r="F19" s="1">
        <v>1.0</v>
      </c>
      <c r="G19" s="1"/>
      <c r="H19" s="1"/>
      <c r="I19" s="1" t="str">
        <f t="shared" si="1"/>
        <v>2022 - Wimbledon</v>
      </c>
      <c r="J19" s="3">
        <f t="shared" ref="J19:N19" si="35">J18+D19</f>
        <v>20</v>
      </c>
      <c r="K19" s="3">
        <f t="shared" si="35"/>
        <v>22</v>
      </c>
      <c r="L19" s="3">
        <f t="shared" si="35"/>
        <v>21</v>
      </c>
      <c r="M19" s="3">
        <f t="shared" si="35"/>
        <v>0</v>
      </c>
      <c r="N19" s="3">
        <f t="shared" si="35"/>
        <v>0</v>
      </c>
      <c r="P19" s="3">
        <f t="shared" ref="P19:T19" si="36">-(max($J19:$L19)-J19)</f>
        <v>-2</v>
      </c>
      <c r="Q19" s="3">
        <f t="shared" si="36"/>
        <v>0</v>
      </c>
      <c r="R19" s="3">
        <f t="shared" si="36"/>
        <v>-1</v>
      </c>
      <c r="S19" s="3">
        <f t="shared" si="36"/>
        <v>-22</v>
      </c>
      <c r="T19" s="3">
        <f t="shared" si="36"/>
        <v>-22</v>
      </c>
    </row>
    <row r="20">
      <c r="A20" s="3">
        <v>2022.0</v>
      </c>
      <c r="B20" s="3">
        <v>4.0</v>
      </c>
      <c r="C20" s="1" t="s">
        <v>16</v>
      </c>
      <c r="G20" s="1">
        <v>1.0</v>
      </c>
      <c r="H20" s="1"/>
      <c r="I20" s="1" t="str">
        <f t="shared" si="1"/>
        <v>2022 - US</v>
      </c>
      <c r="J20" s="3">
        <f t="shared" ref="J20:N20" si="37">J19+D20</f>
        <v>20</v>
      </c>
      <c r="K20" s="3">
        <f t="shared" si="37"/>
        <v>22</v>
      </c>
      <c r="L20" s="3">
        <f t="shared" si="37"/>
        <v>21</v>
      </c>
      <c r="M20" s="3">
        <f t="shared" si="37"/>
        <v>1</v>
      </c>
      <c r="N20" s="3">
        <f t="shared" si="37"/>
        <v>0</v>
      </c>
      <c r="P20" s="3">
        <f t="shared" ref="P20:T20" si="38">-(max($J20:$L20)-J20)</f>
        <v>-2</v>
      </c>
      <c r="Q20" s="3">
        <f t="shared" si="38"/>
        <v>0</v>
      </c>
      <c r="R20" s="3">
        <f t="shared" si="38"/>
        <v>-1</v>
      </c>
      <c r="S20" s="3">
        <f t="shared" si="38"/>
        <v>-21</v>
      </c>
      <c r="T20" s="3">
        <f t="shared" si="38"/>
        <v>-22</v>
      </c>
    </row>
    <row r="21">
      <c r="A21" s="1">
        <v>2023.0</v>
      </c>
      <c r="B21" s="1">
        <v>1.0</v>
      </c>
      <c r="C21" s="1" t="s">
        <v>13</v>
      </c>
      <c r="F21" s="1">
        <v>1.0</v>
      </c>
      <c r="G21" s="1"/>
      <c r="H21" s="1"/>
      <c r="I21" s="1" t="str">
        <f t="shared" si="1"/>
        <v>2023 - Australian</v>
      </c>
      <c r="J21" s="3">
        <f t="shared" ref="J21:N21" si="39">J20+D21</f>
        <v>20</v>
      </c>
      <c r="K21" s="3">
        <f t="shared" si="39"/>
        <v>22</v>
      </c>
      <c r="L21" s="3">
        <f t="shared" si="39"/>
        <v>22</v>
      </c>
      <c r="M21" s="3">
        <f t="shared" si="39"/>
        <v>1</v>
      </c>
      <c r="N21" s="3">
        <f t="shared" si="39"/>
        <v>0</v>
      </c>
      <c r="P21" s="3">
        <f t="shared" ref="P21:T21" si="40">-(max($J21:$L21)-J21)</f>
        <v>-2</v>
      </c>
      <c r="Q21" s="3">
        <f t="shared" si="40"/>
        <v>0</v>
      </c>
      <c r="R21" s="3">
        <f t="shared" si="40"/>
        <v>0</v>
      </c>
      <c r="S21" s="3">
        <f t="shared" si="40"/>
        <v>-21</v>
      </c>
      <c r="T21" s="3">
        <f t="shared" si="40"/>
        <v>-22</v>
      </c>
    </row>
    <row r="22">
      <c r="A22" s="1">
        <v>2023.0</v>
      </c>
      <c r="B22" s="1">
        <v>2.0</v>
      </c>
      <c r="C22" s="1" t="s">
        <v>14</v>
      </c>
      <c r="F22" s="1">
        <v>1.0</v>
      </c>
      <c r="G22" s="1"/>
      <c r="H22" s="1"/>
      <c r="I22" s="1" t="str">
        <f t="shared" si="1"/>
        <v>2023 - French</v>
      </c>
      <c r="J22" s="3">
        <f t="shared" ref="J22:N22" si="41">J21+D22</f>
        <v>20</v>
      </c>
      <c r="K22" s="3">
        <f t="shared" si="41"/>
        <v>22</v>
      </c>
      <c r="L22" s="3">
        <f t="shared" si="41"/>
        <v>23</v>
      </c>
      <c r="M22" s="3">
        <f t="shared" si="41"/>
        <v>1</v>
      </c>
      <c r="N22" s="3">
        <f t="shared" si="41"/>
        <v>0</v>
      </c>
      <c r="P22" s="3">
        <f t="shared" ref="P22:T22" si="42">-(max($J22:$L22)-J22)</f>
        <v>-3</v>
      </c>
      <c r="Q22" s="3">
        <f t="shared" si="42"/>
        <v>-1</v>
      </c>
      <c r="R22" s="3">
        <f t="shared" si="42"/>
        <v>0</v>
      </c>
      <c r="S22" s="3">
        <f t="shared" si="42"/>
        <v>-22</v>
      </c>
      <c r="T22" s="3">
        <f t="shared" si="42"/>
        <v>-23</v>
      </c>
    </row>
    <row r="23">
      <c r="A23" s="1">
        <v>2023.0</v>
      </c>
      <c r="B23" s="1">
        <v>3.0</v>
      </c>
      <c r="C23" s="1" t="s">
        <v>15</v>
      </c>
      <c r="G23" s="1">
        <v>1.0</v>
      </c>
      <c r="H23" s="1"/>
      <c r="I23" s="1" t="str">
        <f t="shared" si="1"/>
        <v>2023 - Wimbledon</v>
      </c>
      <c r="J23" s="3">
        <f t="shared" ref="J23:N23" si="43">J22+D23</f>
        <v>20</v>
      </c>
      <c r="K23" s="3">
        <f t="shared" si="43"/>
        <v>22</v>
      </c>
      <c r="L23" s="3">
        <f t="shared" si="43"/>
        <v>23</v>
      </c>
      <c r="M23" s="3">
        <f t="shared" si="43"/>
        <v>2</v>
      </c>
      <c r="N23" s="3">
        <f t="shared" si="43"/>
        <v>0</v>
      </c>
      <c r="P23" s="3">
        <f t="shared" ref="P23:T23" si="44">-(max($J23:$L23)-J23)</f>
        <v>-3</v>
      </c>
      <c r="Q23" s="3">
        <f t="shared" si="44"/>
        <v>-1</v>
      </c>
      <c r="R23" s="3">
        <f t="shared" si="44"/>
        <v>0</v>
      </c>
      <c r="S23" s="3">
        <f t="shared" si="44"/>
        <v>-21</v>
      </c>
      <c r="T23" s="3">
        <f t="shared" si="44"/>
        <v>-23</v>
      </c>
    </row>
    <row r="24">
      <c r="A24" s="1">
        <v>2023.0</v>
      </c>
      <c r="B24" s="1">
        <v>4.0</v>
      </c>
      <c r="C24" s="1" t="s">
        <v>16</v>
      </c>
      <c r="F24" s="1">
        <v>1.0</v>
      </c>
      <c r="G24" s="1"/>
      <c r="H24" s="1"/>
      <c r="I24" s="1" t="str">
        <f t="shared" si="1"/>
        <v>2023 - US</v>
      </c>
      <c r="J24" s="3">
        <f t="shared" ref="J24:N24" si="45">J23+D24</f>
        <v>20</v>
      </c>
      <c r="K24" s="3">
        <f t="shared" si="45"/>
        <v>22</v>
      </c>
      <c r="L24" s="3">
        <f t="shared" si="45"/>
        <v>24</v>
      </c>
      <c r="M24" s="3">
        <f t="shared" si="45"/>
        <v>2</v>
      </c>
      <c r="N24" s="3">
        <f t="shared" si="45"/>
        <v>0</v>
      </c>
      <c r="P24" s="3">
        <f t="shared" ref="P24:T24" si="46">-(max($J24:$L24)-J24)</f>
        <v>-4</v>
      </c>
      <c r="Q24" s="3">
        <f t="shared" si="46"/>
        <v>-2</v>
      </c>
      <c r="R24" s="3">
        <f t="shared" si="46"/>
        <v>0</v>
      </c>
      <c r="S24" s="3">
        <f t="shared" si="46"/>
        <v>-22</v>
      </c>
      <c r="T24" s="3">
        <f t="shared" si="46"/>
        <v>-24</v>
      </c>
    </row>
    <row r="25">
      <c r="A25" s="1">
        <v>2024.0</v>
      </c>
      <c r="B25" s="1">
        <v>1.0</v>
      </c>
      <c r="C25" s="1" t="s">
        <v>13</v>
      </c>
      <c r="H25" s="1">
        <v>1.0</v>
      </c>
      <c r="I25" s="1" t="str">
        <f t="shared" si="1"/>
        <v>2024 - Australian</v>
      </c>
      <c r="J25" s="3">
        <f t="shared" ref="J25:N25" si="47">J24+D25</f>
        <v>20</v>
      </c>
      <c r="K25" s="3">
        <f t="shared" si="47"/>
        <v>22</v>
      </c>
      <c r="L25" s="3">
        <f t="shared" si="47"/>
        <v>24</v>
      </c>
      <c r="M25" s="3">
        <f t="shared" si="47"/>
        <v>2</v>
      </c>
      <c r="N25" s="3">
        <f t="shared" si="47"/>
        <v>1</v>
      </c>
      <c r="P25" s="3">
        <f t="shared" ref="P25:T25" si="48">-(max($J25:$L25)-J25)</f>
        <v>-4</v>
      </c>
      <c r="Q25" s="3">
        <f t="shared" si="48"/>
        <v>-2</v>
      </c>
      <c r="R25" s="3">
        <f t="shared" si="48"/>
        <v>0</v>
      </c>
      <c r="S25" s="3">
        <f t="shared" si="48"/>
        <v>-22</v>
      </c>
      <c r="T25" s="3">
        <f t="shared" si="48"/>
        <v>-23</v>
      </c>
    </row>
    <row r="26">
      <c r="A26" s="1">
        <v>2024.0</v>
      </c>
      <c r="B26" s="1">
        <v>2.0</v>
      </c>
      <c r="C26" s="1" t="s">
        <v>14</v>
      </c>
      <c r="G26" s="1">
        <v>1.0</v>
      </c>
      <c r="I26" s="1" t="str">
        <f t="shared" si="1"/>
        <v>2024 - French</v>
      </c>
      <c r="J26" s="3">
        <f t="shared" ref="J26:N26" si="49">J25+D26</f>
        <v>20</v>
      </c>
      <c r="K26" s="3">
        <f t="shared" si="49"/>
        <v>22</v>
      </c>
      <c r="L26" s="3">
        <f t="shared" si="49"/>
        <v>24</v>
      </c>
      <c r="M26" s="3">
        <f t="shared" si="49"/>
        <v>3</v>
      </c>
      <c r="N26" s="3">
        <f t="shared" si="49"/>
        <v>1</v>
      </c>
      <c r="P26" s="3">
        <f t="shared" ref="P26:T26" si="50">-(max($J26:$L26)-J26)</f>
        <v>-4</v>
      </c>
      <c r="Q26" s="3">
        <f t="shared" si="50"/>
        <v>-2</v>
      </c>
      <c r="R26" s="3">
        <f t="shared" si="50"/>
        <v>0</v>
      </c>
      <c r="S26" s="3">
        <f t="shared" si="50"/>
        <v>-21</v>
      </c>
      <c r="T26" s="3">
        <f t="shared" si="50"/>
        <v>-23</v>
      </c>
    </row>
    <row r="27">
      <c r="A27" s="1">
        <v>2024.0</v>
      </c>
      <c r="B27" s="1">
        <v>3.0</v>
      </c>
      <c r="C27" s="1" t="s">
        <v>15</v>
      </c>
      <c r="G27" s="1">
        <v>1.0</v>
      </c>
      <c r="I27" s="1" t="str">
        <f t="shared" si="1"/>
        <v>2024 - Wimbledon</v>
      </c>
      <c r="J27" s="3">
        <f t="shared" ref="J27:N27" si="51">J26+D27</f>
        <v>20</v>
      </c>
      <c r="K27" s="3">
        <f t="shared" si="51"/>
        <v>22</v>
      </c>
      <c r="L27" s="3">
        <f t="shared" si="51"/>
        <v>24</v>
      </c>
      <c r="M27" s="3">
        <f t="shared" si="51"/>
        <v>4</v>
      </c>
      <c r="N27" s="3">
        <f t="shared" si="51"/>
        <v>1</v>
      </c>
      <c r="P27" s="3">
        <f t="shared" ref="P27:T27" si="52">-(max($J27:$L27)-J27)</f>
        <v>-4</v>
      </c>
      <c r="Q27" s="3">
        <f t="shared" si="52"/>
        <v>-2</v>
      </c>
      <c r="R27" s="3">
        <f t="shared" si="52"/>
        <v>0</v>
      </c>
      <c r="S27" s="3">
        <f t="shared" si="52"/>
        <v>-20</v>
      </c>
      <c r="T27" s="3">
        <f t="shared" si="52"/>
        <v>-23</v>
      </c>
    </row>
    <row r="28">
      <c r="A28" s="1">
        <v>2024.0</v>
      </c>
      <c r="B28" s="1">
        <v>4.0</v>
      </c>
      <c r="C28" s="1" t="s">
        <v>16</v>
      </c>
      <c r="H28" s="1">
        <v>1.0</v>
      </c>
      <c r="I28" s="1" t="str">
        <f t="shared" si="1"/>
        <v>2024 - US</v>
      </c>
      <c r="J28" s="3">
        <f t="shared" ref="J28:N28" si="53">J27+D28</f>
        <v>20</v>
      </c>
      <c r="K28" s="3">
        <f t="shared" si="53"/>
        <v>22</v>
      </c>
      <c r="L28" s="3">
        <f t="shared" si="53"/>
        <v>24</v>
      </c>
      <c r="M28" s="3">
        <f t="shared" si="53"/>
        <v>4</v>
      </c>
      <c r="N28" s="3">
        <f t="shared" si="53"/>
        <v>2</v>
      </c>
      <c r="P28" s="3">
        <f t="shared" ref="P28:T28" si="54">-(max($J28:$L28)-J28)</f>
        <v>-4</v>
      </c>
      <c r="Q28" s="3">
        <f t="shared" si="54"/>
        <v>-2</v>
      </c>
      <c r="R28" s="3">
        <f t="shared" si="54"/>
        <v>0</v>
      </c>
      <c r="S28" s="3">
        <f t="shared" si="54"/>
        <v>-20</v>
      </c>
      <c r="T28" s="3">
        <f t="shared" si="54"/>
        <v>-22</v>
      </c>
    </row>
    <row r="29">
      <c r="A29" s="1">
        <v>2025.0</v>
      </c>
      <c r="B29" s="1">
        <v>1.0</v>
      </c>
      <c r="C29" s="1" t="s">
        <v>13</v>
      </c>
      <c r="H29" s="1">
        <v>1.0</v>
      </c>
      <c r="I29" s="1" t="str">
        <f t="shared" si="1"/>
        <v>2025 - Australian</v>
      </c>
      <c r="J29" s="3">
        <f t="shared" ref="J29:N29" si="55">J28+D29</f>
        <v>20</v>
      </c>
      <c r="K29" s="3">
        <f t="shared" si="55"/>
        <v>22</v>
      </c>
      <c r="L29" s="3">
        <f t="shared" si="55"/>
        <v>24</v>
      </c>
      <c r="M29" s="3">
        <f t="shared" si="55"/>
        <v>4</v>
      </c>
      <c r="N29" s="3">
        <f t="shared" si="55"/>
        <v>3</v>
      </c>
      <c r="P29" s="3">
        <f t="shared" ref="P29:T29" si="56">-(max($J29:$L29)-J29)</f>
        <v>-4</v>
      </c>
      <c r="Q29" s="3">
        <f t="shared" si="56"/>
        <v>-2</v>
      </c>
      <c r="R29" s="3">
        <f t="shared" si="56"/>
        <v>0</v>
      </c>
      <c r="S29" s="3">
        <f t="shared" si="56"/>
        <v>-20</v>
      </c>
      <c r="T29" s="3">
        <f t="shared" si="56"/>
        <v>-21</v>
      </c>
    </row>
    <row r="30">
      <c r="A30" s="1">
        <v>2025.0</v>
      </c>
      <c r="B30" s="1">
        <v>2.0</v>
      </c>
      <c r="C30" s="1" t="s">
        <v>14</v>
      </c>
      <c r="G30" s="1">
        <v>1.0</v>
      </c>
      <c r="I30" s="1" t="str">
        <f t="shared" si="1"/>
        <v>2025 - French</v>
      </c>
      <c r="J30" s="3">
        <f t="shared" ref="J30:N30" si="57">J29+D30</f>
        <v>20</v>
      </c>
      <c r="K30" s="3">
        <f t="shared" si="57"/>
        <v>22</v>
      </c>
      <c r="L30" s="3">
        <f t="shared" si="57"/>
        <v>24</v>
      </c>
      <c r="M30" s="3">
        <f t="shared" si="57"/>
        <v>5</v>
      </c>
      <c r="N30" s="3">
        <f t="shared" si="57"/>
        <v>3</v>
      </c>
      <c r="P30" s="3">
        <f t="shared" ref="P30:T30" si="58">-(max($J30:$L30)-J30)</f>
        <v>-4</v>
      </c>
      <c r="Q30" s="3">
        <f t="shared" si="58"/>
        <v>-2</v>
      </c>
      <c r="R30" s="3">
        <f t="shared" si="58"/>
        <v>0</v>
      </c>
      <c r="S30" s="3">
        <f t="shared" si="58"/>
        <v>-19</v>
      </c>
      <c r="T30" s="3">
        <f t="shared" si="58"/>
        <v>-21</v>
      </c>
    </row>
    <row r="31">
      <c r="A31" s="1">
        <v>2025.0</v>
      </c>
      <c r="B31" s="1">
        <v>3.0</v>
      </c>
      <c r="C31" s="1" t="s">
        <v>15</v>
      </c>
      <c r="H31" s="1">
        <v>1.0</v>
      </c>
      <c r="I31" s="1" t="str">
        <f t="shared" si="1"/>
        <v>2025 - Wimbledon</v>
      </c>
      <c r="J31" s="3">
        <f t="shared" ref="J31:N31" si="59">J30+D31</f>
        <v>20</v>
      </c>
      <c r="K31" s="3">
        <f t="shared" si="59"/>
        <v>22</v>
      </c>
      <c r="L31" s="3">
        <f t="shared" si="59"/>
        <v>24</v>
      </c>
      <c r="M31" s="3">
        <f t="shared" si="59"/>
        <v>5</v>
      </c>
      <c r="N31" s="3">
        <f t="shared" si="59"/>
        <v>4</v>
      </c>
      <c r="P31" s="3">
        <f t="shared" ref="P31:T31" si="60">-(max($J31:$L31)-J31)</f>
        <v>-4</v>
      </c>
      <c r="Q31" s="3">
        <f t="shared" si="60"/>
        <v>-2</v>
      </c>
      <c r="R31" s="3">
        <f t="shared" si="60"/>
        <v>0</v>
      </c>
      <c r="S31" s="3">
        <f t="shared" si="60"/>
        <v>-19</v>
      </c>
      <c r="T31" s="3">
        <f t="shared" si="60"/>
        <v>-20</v>
      </c>
    </row>
    <row r="32">
      <c r="A32" s="1">
        <v>2025.0</v>
      </c>
      <c r="B32" s="1">
        <v>4.0</v>
      </c>
      <c r="C32" s="1" t="s">
        <v>16</v>
      </c>
      <c r="G32" s="1">
        <v>1.0</v>
      </c>
      <c r="I32" s="1" t="str">
        <f t="shared" si="1"/>
        <v>2025 - US</v>
      </c>
      <c r="J32" s="3">
        <f t="shared" ref="J32:N32" si="61">J31+D32</f>
        <v>20</v>
      </c>
      <c r="K32" s="3">
        <f t="shared" si="61"/>
        <v>22</v>
      </c>
      <c r="L32" s="3">
        <f t="shared" si="61"/>
        <v>24</v>
      </c>
      <c r="M32" s="3">
        <f t="shared" si="61"/>
        <v>6</v>
      </c>
      <c r="N32" s="3">
        <f t="shared" si="61"/>
        <v>4</v>
      </c>
      <c r="P32" s="3">
        <f t="shared" ref="P32:T32" si="62">-(max($J32:$L32)-J32)</f>
        <v>-4</v>
      </c>
      <c r="Q32" s="3">
        <f t="shared" si="62"/>
        <v>-2</v>
      </c>
      <c r="R32" s="3">
        <f t="shared" si="62"/>
        <v>0</v>
      </c>
      <c r="S32" s="3">
        <f t="shared" si="62"/>
        <v>-18</v>
      </c>
      <c r="T32" s="3">
        <f t="shared" si="62"/>
        <v>-20</v>
      </c>
    </row>
    <row r="33">
      <c r="A33" s="1">
        <v>2026.0</v>
      </c>
      <c r="B33" s="1">
        <v>1.0</v>
      </c>
      <c r="C33" s="1" t="s">
        <v>13</v>
      </c>
      <c r="G33" s="1">
        <v>1.0</v>
      </c>
      <c r="I33" s="1" t="str">
        <f t="shared" si="1"/>
        <v>2026 - Australian</v>
      </c>
      <c r="J33" s="3">
        <f t="shared" ref="J33:N33" si="63">J32+D33</f>
        <v>20</v>
      </c>
      <c r="K33" s="3">
        <f t="shared" si="63"/>
        <v>22</v>
      </c>
      <c r="L33" s="3">
        <f t="shared" si="63"/>
        <v>24</v>
      </c>
      <c r="M33" s="3">
        <f t="shared" si="63"/>
        <v>7</v>
      </c>
      <c r="N33" s="3">
        <f t="shared" si="63"/>
        <v>4</v>
      </c>
      <c r="P33" s="3">
        <f t="shared" ref="P33:T33" si="64">-(max($J33:$L33)-J33)</f>
        <v>-4</v>
      </c>
      <c r="Q33" s="3">
        <f t="shared" si="64"/>
        <v>-2</v>
      </c>
      <c r="R33" s="3">
        <f t="shared" si="64"/>
        <v>0</v>
      </c>
      <c r="S33" s="3">
        <f t="shared" si="64"/>
        <v>-17</v>
      </c>
      <c r="T33" s="3">
        <f t="shared" si="64"/>
        <v>-20</v>
      </c>
    </row>
  </sheetData>
  <autoFilter ref="$A$1:$L$3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E1" s="1" t="s">
        <v>20</v>
      </c>
    </row>
    <row r="2">
      <c r="E2" s="3">
        <f t="shared" ref="E2:E6" si="1">sum(B2:D2)</f>
        <v>6</v>
      </c>
    </row>
    <row r="3">
      <c r="E3" s="3">
        <f t="shared" si="1"/>
        <v>6</v>
      </c>
    </row>
    <row r="4">
      <c r="E4" s="3">
        <f t="shared" si="1"/>
        <v>3</v>
      </c>
    </row>
    <row r="5">
      <c r="E5" s="3">
        <f t="shared" si="1"/>
        <v>4</v>
      </c>
    </row>
    <row r="6">
      <c r="E6" s="3">
        <f t="shared" si="1"/>
        <v>19</v>
      </c>
    </row>
  </sheetData>
  <drawing r:id="rId2"/>
</worksheet>
</file>