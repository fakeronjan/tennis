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slams over time" sheetId="1" r:id="rId5"/>
    <sheet state="visible" name="Graph of slams over time" sheetId="2" r:id="rId6"/>
    <sheet state="visible" name="# slams behind leader over time" sheetId="3" r:id="rId7"/>
    <sheet state="visible" name="Counts by slam" sheetId="4" r:id="rId8"/>
  </sheets>
  <definedNames>
    <definedName hidden="1" localSheetId="0" name="_xlnm._FilterDatabase">'List of slams over time'!$A$1:$K$84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<sst xmlns="http://schemas.openxmlformats.org/spreadsheetml/2006/main" count="106" uniqueCount="19">
  <si>
    <t>Year</t>
  </si>
  <si>
    <t>Slam #</t>
  </si>
  <si>
    <t>Slam Name</t>
  </si>
  <si>
    <t>RF</t>
  </si>
  <si>
    <t>RN</t>
  </si>
  <si>
    <t>NJ</t>
  </si>
  <si>
    <t>Sampras</t>
  </si>
  <si>
    <t>Federer</t>
  </si>
  <si>
    <t>Nadal</t>
  </si>
  <si>
    <t>Djokovic</t>
  </si>
  <si>
    <t>Australian</t>
  </si>
  <si>
    <t>French</t>
  </si>
  <si>
    <t>Wimbledon</t>
  </si>
  <si>
    <t>US</t>
  </si>
  <si>
    <t>SUM of RF</t>
  </si>
  <si>
    <t>SUM of RN</t>
  </si>
  <si>
    <t>SUM of NJ</t>
  </si>
  <si>
    <t>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</si>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</sst>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7" Type="http://schemas.openxmlformats.org/officeDocument/2006/relationships/chartsheet" Target="chartsheets/sheet2.xml"/><Relationship Id="rId8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Federer, Nadal and Djokovic Slam Chase - # titles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'List of slams over time'!$H$1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'List of slams over time'!$G$2:$G$84</c:f>
            </c:strRef>
          </c:cat>
          <c:val>
            <c:numRef>
              <c:f>'List of slams over time'!$H$2:$H$84</c:f>
              <c:numCache/>
            </c:numRef>
          </c:val>
          <c:smooth val="0"/>
        </c:ser>
        <c:ser>
          <c:idx val="1"/>
          <c:order val="1"/>
          <c:tx>
            <c:strRef>
              <c:f>'List of slams over time'!$I$1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'List of slams over time'!$G$2:$G$84</c:f>
            </c:strRef>
          </c:cat>
          <c:val>
            <c:numRef>
              <c:f>'List of slams over time'!$I$2:$I$84</c:f>
              <c:numCache/>
            </c:numRef>
          </c:val>
          <c:smooth val="0"/>
        </c:ser>
        <c:ser>
          <c:idx val="2"/>
          <c:order val="2"/>
          <c:tx>
            <c:strRef>
              <c:f>'List of slams over time'!$J$1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'List of slams over time'!$G$2:$G$84</c:f>
            </c:strRef>
          </c:cat>
          <c:val>
            <c:numRef>
              <c:f>'List of slams over time'!$J$2:$J$84</c:f>
              <c:numCache/>
            </c:numRef>
          </c:val>
          <c:smooth val="0"/>
        </c:ser>
        <c:ser>
          <c:idx val="3"/>
          <c:order val="3"/>
          <c:tx>
            <c:strRef>
              <c:f>'List of slams over time'!$K$1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'List of slams over time'!$G$2:$G$84</c:f>
            </c:strRef>
          </c:cat>
          <c:val>
            <c:numRef>
              <c:f>'List of slams over time'!$K$2:$K$84</c:f>
              <c:numCache/>
            </c:numRef>
          </c:val>
          <c:smooth val="0"/>
        </c:ser>
        <c:axId val="811484088"/>
        <c:axId val="455860012"/>
      </c:lineChart>
      <c:catAx>
        <c:axId val="811484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 - Slam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5860012"/>
      </c:catAx>
      <c:valAx>
        <c:axId val="455860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14840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Federer, Nadal and Djokovic Mountain Climb - # of slams behind all-time leader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'List of slams over time'!$M$1</c:f>
            </c:strRef>
          </c:tx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'List of slams over time'!$G$2:$G$84</c:f>
            </c:strRef>
          </c:cat>
          <c:val>
            <c:numRef>
              <c:f>'List of slams over time'!$M$2:$M$84</c:f>
              <c:numCache/>
            </c:numRef>
          </c:val>
          <c:smooth val="0"/>
        </c:ser>
        <c:ser>
          <c:idx val="1"/>
          <c:order val="1"/>
          <c:tx>
            <c:strRef>
              <c:f>'List of slams over time'!$N$1</c:f>
            </c:strRef>
          </c:tx>
          <c:spPr>
            <a:ln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'List of slams over time'!$G$2:$G$84</c:f>
            </c:strRef>
          </c:cat>
          <c:val>
            <c:numRef>
              <c:f>'List of slams over time'!$N$2:$N$84</c:f>
              <c:numCache/>
            </c:numRef>
          </c:val>
          <c:smooth val="0"/>
        </c:ser>
        <c:ser>
          <c:idx val="2"/>
          <c:order val="2"/>
          <c:tx>
            <c:strRef>
              <c:f>'List of slams over time'!$O$1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'List of slams over time'!$G$2:$G$84</c:f>
            </c:strRef>
          </c:cat>
          <c:val>
            <c:numRef>
              <c:f>'List of slams over time'!$O$2:$O$84</c:f>
              <c:numCache/>
            </c:numRef>
          </c:val>
          <c:smooth val="0"/>
        </c:ser>
        <c:axId val="67959934"/>
        <c:axId val="1144261102"/>
      </c:lineChart>
      <c:catAx>
        <c:axId val="67959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 - Slam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4261102"/>
      </c:catAx>
      <c:valAx>
        <c:axId val="11442611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9599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84" sheet="List of slams over time"/>
  </cacheSource>
  <cacheFields>
    <cacheField name="Year" numFmtId="0">
      <sharedItems containsSemiMixedTypes="0" containsString="0" containsNumber="1" containsInteger="1"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</sharedItems>
    </cacheField>
    <cacheField name="Slam #" numFmtId="0">
      <sharedItems containsSemiMixedTypes="0" containsString="0" containsNumber="1" containsInteger="1">
        <n v="1.0"/>
        <n v="2.0"/>
        <n v="3.0"/>
        <n v="4.0"/>
      </sharedItems>
    </cacheField>
    <cacheField name="Slam Name" numFmtId="0">
      <sharedItems>
        <s v="Australian"/>
        <s v="French"/>
        <s v="Wimbledon"/>
        <s v="US"/>
      </sharedItems>
    </cacheField>
    <cacheField name="RF" numFmtId="0">
      <sharedItems containsString="0" containsBlank="1" containsNumber="1" containsInteger="1">
        <m/>
        <n v="1.0"/>
      </sharedItems>
    </cacheField>
    <cacheField name="RN" numFmtId="0">
      <sharedItems containsString="0" containsBlank="1" containsNumber="1" containsInteger="1">
        <m/>
        <n v="1.0"/>
      </sharedItems>
    </cacheField>
    <cacheField name="NJ" numFmtId="0">
      <sharedItems containsString="0" containsBlank="1" containsNumber="1" containsInteger="1">
        <m/>
        <n v="1.0"/>
      </sharedItems>
    </cacheField>
    <cacheField name="Year - Slam Name" numFmtId="0">
      <sharedItems>
        <s v="2003 - Australian"/>
        <s v="2003 - French"/>
        <s v="2003 - Wimbledon"/>
        <s v="2003 - US"/>
        <s v="2004 - Australian"/>
        <s v="2004 - French"/>
        <s v="2004 - Wimbledon"/>
        <s v="2004 - US"/>
        <s v="2005 - Australian"/>
        <s v="2005 - French"/>
        <s v="2005 - Wimbledon"/>
        <s v="2005 - US"/>
        <s v="2006 - Australian"/>
        <s v="2006 - French"/>
        <s v="2006 - Wimbledon"/>
        <s v="2006 - US"/>
        <s v="2007 - Australian"/>
        <s v="2007 - French"/>
        <s v="2007 - Wimbledon"/>
        <s v="2007 - US"/>
        <s v="2008 - Australian"/>
        <s v="2008 - French"/>
        <s v="2008 - Wimbledon"/>
        <s v="2008 - US"/>
        <s v="2009 - Australian"/>
        <s v="2009 - French"/>
        <s v="2009 - Wimbledon"/>
        <s v="2009 - US"/>
        <s v="2010 - Australian"/>
        <s v="2010 - French"/>
        <s v="2010 - Wimbledon"/>
        <s v="2010 - US"/>
        <s v="2011 - Australian"/>
        <s v="2011 - French"/>
        <s v="2011 - Wimbledon"/>
        <s v="2011 - US"/>
        <s v="2012 - Australian"/>
        <s v="2012 - French"/>
        <s v="2012 - Wimbledon"/>
        <s v="2012 - US"/>
        <s v="2013 - Australian"/>
        <s v="2013 - French"/>
        <s v="2013 - Wimbledon"/>
        <s v="2013 - US"/>
        <s v="2014 - Australian"/>
        <s v="2014 - French"/>
        <s v="2014 - Wimbledon"/>
        <s v="2014 - US"/>
        <s v="2015 - Australian"/>
        <s v="2015 - French"/>
        <s v="2015 - Wimbledon"/>
        <s v="2015 - US"/>
        <s v="2016 - Australian"/>
        <s v="2016 - French"/>
        <s v="2016 - Wimbledon"/>
        <s v="2016 - US"/>
        <s v="2017 - Australian"/>
        <s v="2017 - French"/>
        <s v="2017 - Wimbledon"/>
        <s v="2017 - US"/>
        <s v="2018 - Australian"/>
        <s v="2018 - French"/>
        <s v="2018 - Wimbledon"/>
        <s v="2018 - US"/>
        <s v="2019 - Australian"/>
        <s v="2019 - French"/>
        <s v="2019 - Wimbledon"/>
        <s v="2019 - US"/>
        <s v="2020 - Australian"/>
        <s v="2020 - US"/>
        <s v="2020 - French"/>
        <s v="2021 - Australian"/>
        <s v="2021 - French"/>
        <s v="2021 - Wimbledon"/>
        <s v="2021 - US"/>
        <s v="2022 - Australian"/>
        <s v="2022 - French"/>
        <s v="2022 - Wimbledon"/>
        <s v="2022 - US"/>
        <s v="2023 - Australian"/>
        <s v="2023 - French"/>
        <s v="2023 - Wimbledon"/>
        <s v="2023 - US"/>
      </sharedItems>
    </cacheField>
    <cacheField name="Sampras" numFmtId="0">
      <sharedItems containsSemiMixedTypes="0" containsString="0" containsNumber="1" containsInteger="1">
        <n v="14.0"/>
      </sharedItems>
    </cacheField>
    <cacheField name="Federer" numFmtId="0">
      <sharedItems containsSemiMixedTypes="0" containsString="0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</sharedItems>
    </cacheField>
    <cacheField name="Nadal" numFmtId="0">
      <sharedItems containsSemiMixedTypes="0" containsString="0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</sharedItems>
    </cacheField>
    <cacheField name="Djokovic" numFmtId="0">
      <sharedItems containsSemiMixedTypes="0" containsString="0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unts by slam" cacheId="0" dataCaption="" compact="0" compactData="0">
  <location ref="A1:D6" firstHeaderRow="0" firstDataRow="2" firstDataCol="0"/>
  <pivotFields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lam #" compact="0" outline="0" multipleItemSelectionAllowed="1" showAll="0">
      <items>
        <item x="0"/>
        <item x="1"/>
        <item x="2"/>
        <item x="3"/>
        <item t="default"/>
      </items>
    </pivotField>
    <pivotField name="Slam Name" axis="axisRow" compact="0" outline="0" multipleItemSelectionAllowed="1" showAll="0" sortType="ascending">
      <items>
        <item x="0"/>
        <item x="1"/>
        <item x="3"/>
        <item x="2"/>
        <item t="default"/>
      </items>
    </pivotField>
    <pivotField name="RF" dataField="1" compact="0" outline="0" multipleItemSelectionAllowed="1" showAll="0">
      <items>
        <item x="0"/>
        <item x="1"/>
        <item t="default"/>
      </items>
    </pivotField>
    <pivotField name="RN" dataField="1" compact="0" outline="0" multipleItemSelectionAllowed="1" showAll="0">
      <items>
        <item x="0"/>
        <item x="1"/>
        <item t="default"/>
      </items>
    </pivotField>
    <pivotField name="NJ" dataField="1" compact="0" outline="0" multipleItemSelectionAllowed="1" showAll="0">
      <items>
        <item x="0"/>
        <item x="1"/>
        <item t="default"/>
      </items>
    </pivotField>
    <pivotField name="Year - Sla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Sampras" compact="0" outline="0" multipleItemSelectionAllowed="1" showAll="0">
      <items>
        <item x="0"/>
        <item t="default"/>
      </items>
    </pivotField>
    <pivotField name="Feder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Nad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Djokov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</pivotFields>
  <rowFields>
    <field x="2"/>
  </rowFields>
  <colFields>
    <field x="-2"/>
  </colFields>
  <dataFields>
    <dataField name="SUM of RF" fld="3" baseField="0"/>
    <dataField name="SUM of RN" fld="4" baseField="0"/>
    <dataField name="SUM of NJ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25"/>
    <col customWidth="1" min="4" max="6" width="5.63"/>
    <col customWidth="1" min="7" max="7" width="17.13"/>
    <col customWidth="1" min="13" max="13" width="14.5"/>
    <col customWidth="1" min="14" max="14" width="16.0"/>
    <col customWidth="1" min="15" max="15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tr">
        <f t="shared" ref="G1:G84" si="1">A1&amp;" - "&amp;C1</f>
        <v>Year - Slam Name</v>
      </c>
      <c r="H1" s="1" t="s">
        <v>6</v>
      </c>
      <c r="I1" s="1" t="s">
        <v>7</v>
      </c>
      <c r="J1" s="1" t="s">
        <v>8</v>
      </c>
      <c r="K1" s="1" t="s">
        <v>9</v>
      </c>
      <c r="M1" s="1" t="s">
        <v>7</v>
      </c>
      <c r="N1" s="1" t="s">
        <v>8</v>
      </c>
      <c r="O1" s="1" t="s">
        <v>9</v>
      </c>
    </row>
    <row r="2">
      <c r="A2" s="1">
        <v>2003.0</v>
      </c>
      <c r="B2" s="1">
        <v>1.0</v>
      </c>
      <c r="C2" s="1" t="s">
        <v>10</v>
      </c>
      <c r="G2" s="1" t="str">
        <f t="shared" si="1"/>
        <v>2003 - Australian</v>
      </c>
      <c r="H2" s="1">
        <v>14.0</v>
      </c>
      <c r="I2" s="2">
        <f t="shared" ref="I2:K2" si="2">D2+0</f>
        <v>0</v>
      </c>
      <c r="J2" s="2">
        <f t="shared" si="2"/>
        <v>0</v>
      </c>
      <c r="K2" s="2">
        <f t="shared" si="2"/>
        <v>0</v>
      </c>
      <c r="M2" s="2">
        <f t="shared" ref="M2:O2" si="3">-(max($H2:$K2)-I2)</f>
        <v>-14</v>
      </c>
      <c r="N2" s="2">
        <f t="shared" si="3"/>
        <v>-14</v>
      </c>
      <c r="O2" s="2">
        <f t="shared" si="3"/>
        <v>-14</v>
      </c>
    </row>
    <row r="3">
      <c r="A3" s="1">
        <v>2003.0</v>
      </c>
      <c r="B3" s="1">
        <v>2.0</v>
      </c>
      <c r="C3" s="1" t="s">
        <v>11</v>
      </c>
      <c r="G3" s="1" t="str">
        <f t="shared" si="1"/>
        <v>2003 - French</v>
      </c>
      <c r="H3" s="1">
        <v>14.0</v>
      </c>
      <c r="I3" s="2">
        <f t="shared" ref="I3:K3" si="4">I2+D3</f>
        <v>0</v>
      </c>
      <c r="J3" s="2">
        <f t="shared" si="4"/>
        <v>0</v>
      </c>
      <c r="K3" s="2">
        <f t="shared" si="4"/>
        <v>0</v>
      </c>
      <c r="M3" s="2">
        <f t="shared" ref="M3:O3" si="5">-(max($H3:$K3)-I3)</f>
        <v>-14</v>
      </c>
      <c r="N3" s="2">
        <f t="shared" si="5"/>
        <v>-14</v>
      </c>
      <c r="O3" s="2">
        <f t="shared" si="5"/>
        <v>-14</v>
      </c>
    </row>
    <row r="4">
      <c r="A4" s="1">
        <v>2003.0</v>
      </c>
      <c r="B4" s="1">
        <v>3.0</v>
      </c>
      <c r="C4" s="1" t="s">
        <v>12</v>
      </c>
      <c r="D4" s="1">
        <v>1.0</v>
      </c>
      <c r="G4" s="1" t="str">
        <f t="shared" si="1"/>
        <v>2003 - Wimbledon</v>
      </c>
      <c r="H4" s="1">
        <v>14.0</v>
      </c>
      <c r="I4" s="2">
        <f t="shared" ref="I4:K4" si="6">I3+D4</f>
        <v>1</v>
      </c>
      <c r="J4" s="2">
        <f t="shared" si="6"/>
        <v>0</v>
      </c>
      <c r="K4" s="2">
        <f t="shared" si="6"/>
        <v>0</v>
      </c>
      <c r="M4" s="2">
        <f t="shared" ref="M4:O4" si="7">-(max($H4:$K4)-I4)</f>
        <v>-13</v>
      </c>
      <c r="N4" s="2">
        <f t="shared" si="7"/>
        <v>-14</v>
      </c>
      <c r="O4" s="2">
        <f t="shared" si="7"/>
        <v>-14</v>
      </c>
    </row>
    <row r="5">
      <c r="A5" s="1">
        <v>2003.0</v>
      </c>
      <c r="B5" s="1">
        <v>4.0</v>
      </c>
      <c r="C5" s="1" t="s">
        <v>13</v>
      </c>
      <c r="G5" s="1" t="str">
        <f t="shared" si="1"/>
        <v>2003 - US</v>
      </c>
      <c r="H5" s="1">
        <v>14.0</v>
      </c>
      <c r="I5" s="2">
        <f t="shared" ref="I5:K5" si="8">I4+D5</f>
        <v>1</v>
      </c>
      <c r="J5" s="2">
        <f t="shared" si="8"/>
        <v>0</v>
      </c>
      <c r="K5" s="2">
        <f t="shared" si="8"/>
        <v>0</v>
      </c>
      <c r="M5" s="2">
        <f t="shared" ref="M5:O5" si="9">-(max($H5:$K5)-I5)</f>
        <v>-13</v>
      </c>
      <c r="N5" s="2">
        <f t="shared" si="9"/>
        <v>-14</v>
      </c>
      <c r="O5" s="2">
        <f t="shared" si="9"/>
        <v>-14</v>
      </c>
    </row>
    <row r="6">
      <c r="A6" s="2">
        <v>2004.0</v>
      </c>
      <c r="B6" s="2">
        <v>1.0</v>
      </c>
      <c r="C6" s="1" t="s">
        <v>10</v>
      </c>
      <c r="D6" s="1">
        <v>1.0</v>
      </c>
      <c r="G6" s="1" t="str">
        <f t="shared" si="1"/>
        <v>2004 - Australian</v>
      </c>
      <c r="H6" s="1">
        <v>14.0</v>
      </c>
      <c r="I6" s="2">
        <f t="shared" ref="I6:K6" si="10">I5+D6</f>
        <v>2</v>
      </c>
      <c r="J6" s="2">
        <f t="shared" si="10"/>
        <v>0</v>
      </c>
      <c r="K6" s="2">
        <f t="shared" si="10"/>
        <v>0</v>
      </c>
      <c r="M6" s="2">
        <f t="shared" ref="M6:O6" si="11">-(max($H6:$K6)-I6)</f>
        <v>-12</v>
      </c>
      <c r="N6" s="2">
        <f t="shared" si="11"/>
        <v>-14</v>
      </c>
      <c r="O6" s="2">
        <f t="shared" si="11"/>
        <v>-14</v>
      </c>
    </row>
    <row r="7">
      <c r="A7" s="2">
        <v>2004.0</v>
      </c>
      <c r="B7" s="2">
        <v>2.0</v>
      </c>
      <c r="C7" s="1" t="s">
        <v>11</v>
      </c>
      <c r="G7" s="1" t="str">
        <f t="shared" si="1"/>
        <v>2004 - French</v>
      </c>
      <c r="H7" s="1">
        <v>14.0</v>
      </c>
      <c r="I7" s="2">
        <f t="shared" ref="I7:K7" si="12">I6+D7</f>
        <v>2</v>
      </c>
      <c r="J7" s="2">
        <f t="shared" si="12"/>
        <v>0</v>
      </c>
      <c r="K7" s="2">
        <f t="shared" si="12"/>
        <v>0</v>
      </c>
      <c r="M7" s="2">
        <f t="shared" ref="M7:O7" si="13">-(max($H7:$K7)-I7)</f>
        <v>-12</v>
      </c>
      <c r="N7" s="2">
        <f t="shared" si="13"/>
        <v>-14</v>
      </c>
      <c r="O7" s="2">
        <f t="shared" si="13"/>
        <v>-14</v>
      </c>
    </row>
    <row r="8">
      <c r="A8" s="2">
        <v>2004.0</v>
      </c>
      <c r="B8" s="2">
        <v>3.0</v>
      </c>
      <c r="C8" s="2" t="s">
        <v>12</v>
      </c>
      <c r="D8" s="1">
        <v>1.0</v>
      </c>
      <c r="G8" s="1" t="str">
        <f t="shared" si="1"/>
        <v>2004 - Wimbledon</v>
      </c>
      <c r="H8" s="1">
        <v>14.0</v>
      </c>
      <c r="I8" s="2">
        <f t="shared" ref="I8:K8" si="14">I7+D8</f>
        <v>3</v>
      </c>
      <c r="J8" s="2">
        <f t="shared" si="14"/>
        <v>0</v>
      </c>
      <c r="K8" s="2">
        <f t="shared" si="14"/>
        <v>0</v>
      </c>
      <c r="M8" s="2">
        <f t="shared" ref="M8:O8" si="15">-(max($H8:$K8)-I8)</f>
        <v>-11</v>
      </c>
      <c r="N8" s="2">
        <f t="shared" si="15"/>
        <v>-14</v>
      </c>
      <c r="O8" s="2">
        <f t="shared" si="15"/>
        <v>-14</v>
      </c>
    </row>
    <row r="9">
      <c r="A9" s="2">
        <v>2004.0</v>
      </c>
      <c r="B9" s="2">
        <v>4.0</v>
      </c>
      <c r="C9" s="1" t="s">
        <v>13</v>
      </c>
      <c r="D9" s="1">
        <v>1.0</v>
      </c>
      <c r="G9" s="1" t="str">
        <f t="shared" si="1"/>
        <v>2004 - US</v>
      </c>
      <c r="H9" s="1">
        <v>14.0</v>
      </c>
      <c r="I9" s="2">
        <f t="shared" ref="I9:K9" si="16">I8+D9</f>
        <v>4</v>
      </c>
      <c r="J9" s="2">
        <f t="shared" si="16"/>
        <v>0</v>
      </c>
      <c r="K9" s="2">
        <f t="shared" si="16"/>
        <v>0</v>
      </c>
      <c r="M9" s="2">
        <f t="shared" ref="M9:O9" si="17">-(max($H9:$K9)-I9)</f>
        <v>-10</v>
      </c>
      <c r="N9" s="2">
        <f t="shared" si="17"/>
        <v>-14</v>
      </c>
      <c r="O9" s="2">
        <f t="shared" si="17"/>
        <v>-14</v>
      </c>
    </row>
    <row r="10">
      <c r="A10" s="2">
        <v>2005.0</v>
      </c>
      <c r="B10" s="2">
        <v>1.0</v>
      </c>
      <c r="C10" s="1" t="s">
        <v>10</v>
      </c>
      <c r="G10" s="1" t="str">
        <f t="shared" si="1"/>
        <v>2005 - Australian</v>
      </c>
      <c r="H10" s="1">
        <v>14.0</v>
      </c>
      <c r="I10" s="2">
        <f t="shared" ref="I10:K10" si="18">I9+D10</f>
        <v>4</v>
      </c>
      <c r="J10" s="2">
        <f t="shared" si="18"/>
        <v>0</v>
      </c>
      <c r="K10" s="2">
        <f t="shared" si="18"/>
        <v>0</v>
      </c>
      <c r="M10" s="2">
        <f t="shared" ref="M10:O10" si="19">-(max($H10:$K10)-I10)</f>
        <v>-10</v>
      </c>
      <c r="N10" s="2">
        <f t="shared" si="19"/>
        <v>-14</v>
      </c>
      <c r="O10" s="2">
        <f t="shared" si="19"/>
        <v>-14</v>
      </c>
    </row>
    <row r="11">
      <c r="A11" s="2">
        <v>2005.0</v>
      </c>
      <c r="B11" s="2">
        <v>2.0</v>
      </c>
      <c r="C11" s="1" t="s">
        <v>11</v>
      </c>
      <c r="E11" s="1">
        <v>1.0</v>
      </c>
      <c r="G11" s="1" t="str">
        <f t="shared" si="1"/>
        <v>2005 - French</v>
      </c>
      <c r="H11" s="1">
        <v>14.0</v>
      </c>
      <c r="I11" s="2">
        <f t="shared" ref="I11:K11" si="20">I10+D11</f>
        <v>4</v>
      </c>
      <c r="J11" s="2">
        <f t="shared" si="20"/>
        <v>1</v>
      </c>
      <c r="K11" s="2">
        <f t="shared" si="20"/>
        <v>0</v>
      </c>
      <c r="M11" s="2">
        <f t="shared" ref="M11:O11" si="21">-(max($H11:$K11)-I11)</f>
        <v>-10</v>
      </c>
      <c r="N11" s="2">
        <f t="shared" si="21"/>
        <v>-13</v>
      </c>
      <c r="O11" s="2">
        <f t="shared" si="21"/>
        <v>-14</v>
      </c>
    </row>
    <row r="12">
      <c r="A12" s="2">
        <v>2005.0</v>
      </c>
      <c r="B12" s="2">
        <v>3.0</v>
      </c>
      <c r="C12" s="2" t="s">
        <v>12</v>
      </c>
      <c r="D12" s="1">
        <v>1.0</v>
      </c>
      <c r="G12" s="1" t="str">
        <f t="shared" si="1"/>
        <v>2005 - Wimbledon</v>
      </c>
      <c r="H12" s="1">
        <v>14.0</v>
      </c>
      <c r="I12" s="2">
        <f t="shared" ref="I12:K12" si="22">I11+D12</f>
        <v>5</v>
      </c>
      <c r="J12" s="2">
        <f t="shared" si="22"/>
        <v>1</v>
      </c>
      <c r="K12" s="2">
        <f t="shared" si="22"/>
        <v>0</v>
      </c>
      <c r="M12" s="2">
        <f t="shared" ref="M12:O12" si="23">-(max($H12:$K12)-I12)</f>
        <v>-9</v>
      </c>
      <c r="N12" s="2">
        <f t="shared" si="23"/>
        <v>-13</v>
      </c>
      <c r="O12" s="2">
        <f t="shared" si="23"/>
        <v>-14</v>
      </c>
    </row>
    <row r="13">
      <c r="A13" s="2">
        <v>2005.0</v>
      </c>
      <c r="B13" s="2">
        <v>4.0</v>
      </c>
      <c r="C13" s="1" t="s">
        <v>13</v>
      </c>
      <c r="D13" s="1">
        <v>1.0</v>
      </c>
      <c r="G13" s="1" t="str">
        <f t="shared" si="1"/>
        <v>2005 - US</v>
      </c>
      <c r="H13" s="1">
        <v>14.0</v>
      </c>
      <c r="I13" s="2">
        <f t="shared" ref="I13:K13" si="24">I12+D13</f>
        <v>6</v>
      </c>
      <c r="J13" s="2">
        <f t="shared" si="24"/>
        <v>1</v>
      </c>
      <c r="K13" s="2">
        <f t="shared" si="24"/>
        <v>0</v>
      </c>
      <c r="M13" s="2">
        <f t="shared" ref="M13:O13" si="25">-(max($H13:$K13)-I13)</f>
        <v>-8</v>
      </c>
      <c r="N13" s="2">
        <f t="shared" si="25"/>
        <v>-13</v>
      </c>
      <c r="O13" s="2">
        <f t="shared" si="25"/>
        <v>-14</v>
      </c>
    </row>
    <row r="14">
      <c r="A14" s="2">
        <v>2006.0</v>
      </c>
      <c r="B14" s="2">
        <v>1.0</v>
      </c>
      <c r="C14" s="1" t="s">
        <v>10</v>
      </c>
      <c r="D14" s="1">
        <v>1.0</v>
      </c>
      <c r="G14" s="1" t="str">
        <f t="shared" si="1"/>
        <v>2006 - Australian</v>
      </c>
      <c r="H14" s="1">
        <v>14.0</v>
      </c>
      <c r="I14" s="2">
        <f t="shared" ref="I14:K14" si="26">I13+D14</f>
        <v>7</v>
      </c>
      <c r="J14" s="2">
        <f t="shared" si="26"/>
        <v>1</v>
      </c>
      <c r="K14" s="2">
        <f t="shared" si="26"/>
        <v>0</v>
      </c>
      <c r="M14" s="2">
        <f t="shared" ref="M14:O14" si="27">-(max($H14:$K14)-I14)</f>
        <v>-7</v>
      </c>
      <c r="N14" s="2">
        <f t="shared" si="27"/>
        <v>-13</v>
      </c>
      <c r="O14" s="2">
        <f t="shared" si="27"/>
        <v>-14</v>
      </c>
    </row>
    <row r="15">
      <c r="A15" s="2">
        <v>2006.0</v>
      </c>
      <c r="B15" s="2">
        <v>2.0</v>
      </c>
      <c r="C15" s="1" t="s">
        <v>11</v>
      </c>
      <c r="E15" s="1">
        <v>1.0</v>
      </c>
      <c r="G15" s="1" t="str">
        <f t="shared" si="1"/>
        <v>2006 - French</v>
      </c>
      <c r="H15" s="1">
        <v>14.0</v>
      </c>
      <c r="I15" s="2">
        <f t="shared" ref="I15:K15" si="28">I14+D15</f>
        <v>7</v>
      </c>
      <c r="J15" s="2">
        <f t="shared" si="28"/>
        <v>2</v>
      </c>
      <c r="K15" s="2">
        <f t="shared" si="28"/>
        <v>0</v>
      </c>
      <c r="M15" s="2">
        <f t="shared" ref="M15:O15" si="29">-(max($H15:$K15)-I15)</f>
        <v>-7</v>
      </c>
      <c r="N15" s="2">
        <f t="shared" si="29"/>
        <v>-12</v>
      </c>
      <c r="O15" s="2">
        <f t="shared" si="29"/>
        <v>-14</v>
      </c>
    </row>
    <row r="16">
      <c r="A16" s="2">
        <v>2006.0</v>
      </c>
      <c r="B16" s="2">
        <v>3.0</v>
      </c>
      <c r="C16" s="2" t="s">
        <v>12</v>
      </c>
      <c r="D16" s="1">
        <v>1.0</v>
      </c>
      <c r="G16" s="1" t="str">
        <f t="shared" si="1"/>
        <v>2006 - Wimbledon</v>
      </c>
      <c r="H16" s="1">
        <v>14.0</v>
      </c>
      <c r="I16" s="2">
        <f t="shared" ref="I16:K16" si="30">I15+D16</f>
        <v>8</v>
      </c>
      <c r="J16" s="2">
        <f t="shared" si="30"/>
        <v>2</v>
      </c>
      <c r="K16" s="2">
        <f t="shared" si="30"/>
        <v>0</v>
      </c>
      <c r="M16" s="2">
        <f t="shared" ref="M16:O16" si="31">-(max($H16:$K16)-I16)</f>
        <v>-6</v>
      </c>
      <c r="N16" s="2">
        <f t="shared" si="31"/>
        <v>-12</v>
      </c>
      <c r="O16" s="2">
        <f t="shared" si="31"/>
        <v>-14</v>
      </c>
    </row>
    <row r="17">
      <c r="A17" s="2">
        <v>2006.0</v>
      </c>
      <c r="B17" s="2">
        <v>4.0</v>
      </c>
      <c r="C17" s="1" t="s">
        <v>13</v>
      </c>
      <c r="D17" s="1">
        <v>1.0</v>
      </c>
      <c r="G17" s="1" t="str">
        <f t="shared" si="1"/>
        <v>2006 - US</v>
      </c>
      <c r="H17" s="1">
        <v>14.0</v>
      </c>
      <c r="I17" s="2">
        <f t="shared" ref="I17:K17" si="32">I16+D17</f>
        <v>9</v>
      </c>
      <c r="J17" s="2">
        <f t="shared" si="32"/>
        <v>2</v>
      </c>
      <c r="K17" s="2">
        <f t="shared" si="32"/>
        <v>0</v>
      </c>
      <c r="M17" s="2">
        <f t="shared" ref="M17:O17" si="33">-(max($H17:$K17)-I17)</f>
        <v>-5</v>
      </c>
      <c r="N17" s="2">
        <f t="shared" si="33"/>
        <v>-12</v>
      </c>
      <c r="O17" s="2">
        <f t="shared" si="33"/>
        <v>-14</v>
      </c>
    </row>
    <row r="18">
      <c r="A18" s="2">
        <v>2007.0</v>
      </c>
      <c r="B18" s="2">
        <v>1.0</v>
      </c>
      <c r="C18" s="1" t="s">
        <v>10</v>
      </c>
      <c r="D18" s="1">
        <v>1.0</v>
      </c>
      <c r="G18" s="1" t="str">
        <f t="shared" si="1"/>
        <v>2007 - Australian</v>
      </c>
      <c r="H18" s="1">
        <v>14.0</v>
      </c>
      <c r="I18" s="2">
        <f t="shared" ref="I18:K18" si="34">I17+D18</f>
        <v>10</v>
      </c>
      <c r="J18" s="2">
        <f t="shared" si="34"/>
        <v>2</v>
      </c>
      <c r="K18" s="2">
        <f t="shared" si="34"/>
        <v>0</v>
      </c>
      <c r="M18" s="2">
        <f t="shared" ref="M18:O18" si="35">-(max($H18:$K18)-I18)</f>
        <v>-4</v>
      </c>
      <c r="N18" s="2">
        <f t="shared" si="35"/>
        <v>-12</v>
      </c>
      <c r="O18" s="2">
        <f t="shared" si="35"/>
        <v>-14</v>
      </c>
    </row>
    <row r="19">
      <c r="A19" s="2">
        <v>2007.0</v>
      </c>
      <c r="B19" s="2">
        <v>2.0</v>
      </c>
      <c r="C19" s="1" t="s">
        <v>11</v>
      </c>
      <c r="E19" s="1">
        <v>1.0</v>
      </c>
      <c r="G19" s="1" t="str">
        <f t="shared" si="1"/>
        <v>2007 - French</v>
      </c>
      <c r="H19" s="1">
        <v>14.0</v>
      </c>
      <c r="I19" s="2">
        <f t="shared" ref="I19:K19" si="36">I18+D19</f>
        <v>10</v>
      </c>
      <c r="J19" s="2">
        <f t="shared" si="36"/>
        <v>3</v>
      </c>
      <c r="K19" s="2">
        <f t="shared" si="36"/>
        <v>0</v>
      </c>
      <c r="M19" s="2">
        <f t="shared" ref="M19:O19" si="37">-(max($H19:$K19)-I19)</f>
        <v>-4</v>
      </c>
      <c r="N19" s="2">
        <f t="shared" si="37"/>
        <v>-11</v>
      </c>
      <c r="O19" s="2">
        <f t="shared" si="37"/>
        <v>-14</v>
      </c>
    </row>
    <row r="20">
      <c r="A20" s="2">
        <v>2007.0</v>
      </c>
      <c r="B20" s="2">
        <v>3.0</v>
      </c>
      <c r="C20" s="2" t="s">
        <v>12</v>
      </c>
      <c r="D20" s="1">
        <v>1.0</v>
      </c>
      <c r="G20" s="1" t="str">
        <f t="shared" si="1"/>
        <v>2007 - Wimbledon</v>
      </c>
      <c r="H20" s="1">
        <v>14.0</v>
      </c>
      <c r="I20" s="2">
        <f t="shared" ref="I20:K20" si="38">I19+D20</f>
        <v>11</v>
      </c>
      <c r="J20" s="2">
        <f t="shared" si="38"/>
        <v>3</v>
      </c>
      <c r="K20" s="2">
        <f t="shared" si="38"/>
        <v>0</v>
      </c>
      <c r="M20" s="2">
        <f t="shared" ref="M20:O20" si="39">-(max($H20:$K20)-I20)</f>
        <v>-3</v>
      </c>
      <c r="N20" s="2">
        <f t="shared" si="39"/>
        <v>-11</v>
      </c>
      <c r="O20" s="2">
        <f t="shared" si="39"/>
        <v>-14</v>
      </c>
    </row>
    <row r="21">
      <c r="A21" s="2">
        <v>2007.0</v>
      </c>
      <c r="B21" s="2">
        <v>4.0</v>
      </c>
      <c r="C21" s="1" t="s">
        <v>13</v>
      </c>
      <c r="D21" s="1">
        <v>1.0</v>
      </c>
      <c r="G21" s="1" t="str">
        <f t="shared" si="1"/>
        <v>2007 - US</v>
      </c>
      <c r="H21" s="1">
        <v>14.0</v>
      </c>
      <c r="I21" s="2">
        <f t="shared" ref="I21:K21" si="40">I20+D21</f>
        <v>12</v>
      </c>
      <c r="J21" s="2">
        <f t="shared" si="40"/>
        <v>3</v>
      </c>
      <c r="K21" s="2">
        <f t="shared" si="40"/>
        <v>0</v>
      </c>
      <c r="M21" s="2">
        <f t="shared" ref="M21:O21" si="41">-(max($H21:$K21)-I21)</f>
        <v>-2</v>
      </c>
      <c r="N21" s="2">
        <f t="shared" si="41"/>
        <v>-11</v>
      </c>
      <c r="O21" s="2">
        <f t="shared" si="41"/>
        <v>-14</v>
      </c>
    </row>
    <row r="22">
      <c r="A22" s="2">
        <v>2008.0</v>
      </c>
      <c r="B22" s="2">
        <v>1.0</v>
      </c>
      <c r="C22" s="1" t="s">
        <v>10</v>
      </c>
      <c r="F22" s="1">
        <v>1.0</v>
      </c>
      <c r="G22" s="1" t="str">
        <f t="shared" si="1"/>
        <v>2008 - Australian</v>
      </c>
      <c r="H22" s="1">
        <v>14.0</v>
      </c>
      <c r="I22" s="2">
        <f t="shared" ref="I22:K22" si="42">I21+D22</f>
        <v>12</v>
      </c>
      <c r="J22" s="2">
        <f t="shared" si="42"/>
        <v>3</v>
      </c>
      <c r="K22" s="2">
        <f t="shared" si="42"/>
        <v>1</v>
      </c>
      <c r="M22" s="2">
        <f t="shared" ref="M22:O22" si="43">-(max($H22:$K22)-I22)</f>
        <v>-2</v>
      </c>
      <c r="N22" s="2">
        <f t="shared" si="43"/>
        <v>-11</v>
      </c>
      <c r="O22" s="2">
        <f t="shared" si="43"/>
        <v>-13</v>
      </c>
    </row>
    <row r="23">
      <c r="A23" s="2">
        <v>2008.0</v>
      </c>
      <c r="B23" s="2">
        <v>2.0</v>
      </c>
      <c r="C23" s="1" t="s">
        <v>11</v>
      </c>
      <c r="E23" s="1">
        <v>1.0</v>
      </c>
      <c r="G23" s="1" t="str">
        <f t="shared" si="1"/>
        <v>2008 - French</v>
      </c>
      <c r="H23" s="1">
        <v>14.0</v>
      </c>
      <c r="I23" s="2">
        <f t="shared" ref="I23:K23" si="44">I22+D23</f>
        <v>12</v>
      </c>
      <c r="J23" s="2">
        <f t="shared" si="44"/>
        <v>4</v>
      </c>
      <c r="K23" s="2">
        <f t="shared" si="44"/>
        <v>1</v>
      </c>
      <c r="M23" s="2">
        <f t="shared" ref="M23:O23" si="45">-(max($H23:$K23)-I23)</f>
        <v>-2</v>
      </c>
      <c r="N23" s="2">
        <f t="shared" si="45"/>
        <v>-10</v>
      </c>
      <c r="O23" s="2">
        <f t="shared" si="45"/>
        <v>-13</v>
      </c>
    </row>
    <row r="24">
      <c r="A24" s="2">
        <v>2008.0</v>
      </c>
      <c r="B24" s="2">
        <v>3.0</v>
      </c>
      <c r="C24" s="2" t="s">
        <v>12</v>
      </c>
      <c r="E24" s="1">
        <v>1.0</v>
      </c>
      <c r="G24" s="1" t="str">
        <f t="shared" si="1"/>
        <v>2008 - Wimbledon</v>
      </c>
      <c r="H24" s="1">
        <v>14.0</v>
      </c>
      <c r="I24" s="2">
        <f t="shared" ref="I24:K24" si="46">I23+D24</f>
        <v>12</v>
      </c>
      <c r="J24" s="2">
        <f t="shared" si="46"/>
        <v>5</v>
      </c>
      <c r="K24" s="2">
        <f t="shared" si="46"/>
        <v>1</v>
      </c>
      <c r="M24" s="2">
        <f t="shared" ref="M24:O24" si="47">-(max($H24:$K24)-I24)</f>
        <v>-2</v>
      </c>
      <c r="N24" s="2">
        <f t="shared" si="47"/>
        <v>-9</v>
      </c>
      <c r="O24" s="2">
        <f t="shared" si="47"/>
        <v>-13</v>
      </c>
    </row>
    <row r="25">
      <c r="A25" s="2">
        <v>2008.0</v>
      </c>
      <c r="B25" s="2">
        <v>4.0</v>
      </c>
      <c r="C25" s="1" t="s">
        <v>13</v>
      </c>
      <c r="D25" s="1">
        <v>1.0</v>
      </c>
      <c r="G25" s="1" t="str">
        <f t="shared" si="1"/>
        <v>2008 - US</v>
      </c>
      <c r="H25" s="1">
        <v>14.0</v>
      </c>
      <c r="I25" s="2">
        <f t="shared" ref="I25:K25" si="48">I24+D25</f>
        <v>13</v>
      </c>
      <c r="J25" s="2">
        <f t="shared" si="48"/>
        <v>5</v>
      </c>
      <c r="K25" s="2">
        <f t="shared" si="48"/>
        <v>1</v>
      </c>
      <c r="M25" s="2">
        <f t="shared" ref="M25:O25" si="49">-(max($H25:$K25)-I25)</f>
        <v>-1</v>
      </c>
      <c r="N25" s="2">
        <f t="shared" si="49"/>
        <v>-9</v>
      </c>
      <c r="O25" s="2">
        <f t="shared" si="49"/>
        <v>-13</v>
      </c>
    </row>
    <row r="26">
      <c r="A26" s="2">
        <v>2009.0</v>
      </c>
      <c r="B26" s="2">
        <v>1.0</v>
      </c>
      <c r="C26" s="1" t="s">
        <v>10</v>
      </c>
      <c r="E26" s="1">
        <v>1.0</v>
      </c>
      <c r="G26" s="1" t="str">
        <f t="shared" si="1"/>
        <v>2009 - Australian</v>
      </c>
      <c r="H26" s="1">
        <v>14.0</v>
      </c>
      <c r="I26" s="2">
        <f t="shared" ref="I26:K26" si="50">I25+D26</f>
        <v>13</v>
      </c>
      <c r="J26" s="2">
        <f t="shared" si="50"/>
        <v>6</v>
      </c>
      <c r="K26" s="2">
        <f t="shared" si="50"/>
        <v>1</v>
      </c>
      <c r="M26" s="2">
        <f t="shared" ref="M26:O26" si="51">-(max($H26:$K26)-I26)</f>
        <v>-1</v>
      </c>
      <c r="N26" s="2">
        <f t="shared" si="51"/>
        <v>-8</v>
      </c>
      <c r="O26" s="2">
        <f t="shared" si="51"/>
        <v>-13</v>
      </c>
    </row>
    <row r="27">
      <c r="A27" s="2">
        <v>2009.0</v>
      </c>
      <c r="B27" s="2">
        <v>2.0</v>
      </c>
      <c r="C27" s="1" t="s">
        <v>11</v>
      </c>
      <c r="D27" s="1">
        <v>1.0</v>
      </c>
      <c r="G27" s="1" t="str">
        <f t="shared" si="1"/>
        <v>2009 - French</v>
      </c>
      <c r="H27" s="1">
        <v>14.0</v>
      </c>
      <c r="I27" s="2">
        <f t="shared" ref="I27:K27" si="52">I26+D27</f>
        <v>14</v>
      </c>
      <c r="J27" s="2">
        <f t="shared" si="52"/>
        <v>6</v>
      </c>
      <c r="K27" s="2">
        <f t="shared" si="52"/>
        <v>1</v>
      </c>
      <c r="M27" s="2">
        <f t="shared" ref="M27:O27" si="53">-(max($H27:$K27)-I27)</f>
        <v>0</v>
      </c>
      <c r="N27" s="2">
        <f t="shared" si="53"/>
        <v>-8</v>
      </c>
      <c r="O27" s="2">
        <f t="shared" si="53"/>
        <v>-13</v>
      </c>
    </row>
    <row r="28">
      <c r="A28" s="2">
        <v>2009.0</v>
      </c>
      <c r="B28" s="2">
        <v>3.0</v>
      </c>
      <c r="C28" s="2" t="s">
        <v>12</v>
      </c>
      <c r="D28" s="1">
        <v>1.0</v>
      </c>
      <c r="G28" s="1" t="str">
        <f t="shared" si="1"/>
        <v>2009 - Wimbledon</v>
      </c>
      <c r="H28" s="1">
        <v>14.0</v>
      </c>
      <c r="I28" s="2">
        <f t="shared" ref="I28:K28" si="54">I27+D28</f>
        <v>15</v>
      </c>
      <c r="J28" s="2">
        <f t="shared" si="54"/>
        <v>6</v>
      </c>
      <c r="K28" s="2">
        <f t="shared" si="54"/>
        <v>1</v>
      </c>
      <c r="M28" s="2">
        <f t="shared" ref="M28:O28" si="55">-(max($H28:$K28)-I28)</f>
        <v>0</v>
      </c>
      <c r="N28" s="2">
        <f t="shared" si="55"/>
        <v>-9</v>
      </c>
      <c r="O28" s="2">
        <f t="shared" si="55"/>
        <v>-14</v>
      </c>
    </row>
    <row r="29">
      <c r="A29" s="2">
        <v>2009.0</v>
      </c>
      <c r="B29" s="2">
        <v>4.0</v>
      </c>
      <c r="C29" s="1" t="s">
        <v>13</v>
      </c>
      <c r="G29" s="1" t="str">
        <f t="shared" si="1"/>
        <v>2009 - US</v>
      </c>
      <c r="H29" s="1">
        <v>14.0</v>
      </c>
      <c r="I29" s="2">
        <f t="shared" ref="I29:K29" si="56">I28+D29</f>
        <v>15</v>
      </c>
      <c r="J29" s="2">
        <f t="shared" si="56"/>
        <v>6</v>
      </c>
      <c r="K29" s="2">
        <f t="shared" si="56"/>
        <v>1</v>
      </c>
      <c r="M29" s="2">
        <f t="shared" ref="M29:O29" si="57">-(max($H29:$K29)-I29)</f>
        <v>0</v>
      </c>
      <c r="N29" s="2">
        <f t="shared" si="57"/>
        <v>-9</v>
      </c>
      <c r="O29" s="2">
        <f t="shared" si="57"/>
        <v>-14</v>
      </c>
    </row>
    <row r="30">
      <c r="A30" s="2">
        <v>2010.0</v>
      </c>
      <c r="B30" s="2">
        <v>1.0</v>
      </c>
      <c r="C30" s="1" t="s">
        <v>10</v>
      </c>
      <c r="D30" s="1">
        <v>1.0</v>
      </c>
      <c r="G30" s="1" t="str">
        <f t="shared" si="1"/>
        <v>2010 - Australian</v>
      </c>
      <c r="H30" s="1">
        <v>14.0</v>
      </c>
      <c r="I30" s="2">
        <f t="shared" ref="I30:K30" si="58">I29+D30</f>
        <v>16</v>
      </c>
      <c r="J30" s="2">
        <f t="shared" si="58"/>
        <v>6</v>
      </c>
      <c r="K30" s="2">
        <f t="shared" si="58"/>
        <v>1</v>
      </c>
      <c r="M30" s="2">
        <f t="shared" ref="M30:O30" si="59">-(max($H30:$K30)-I30)</f>
        <v>0</v>
      </c>
      <c r="N30" s="2">
        <f t="shared" si="59"/>
        <v>-10</v>
      </c>
      <c r="O30" s="2">
        <f t="shared" si="59"/>
        <v>-15</v>
      </c>
    </row>
    <row r="31">
      <c r="A31" s="2">
        <v>2010.0</v>
      </c>
      <c r="B31" s="2">
        <v>2.0</v>
      </c>
      <c r="C31" s="1" t="s">
        <v>11</v>
      </c>
      <c r="E31" s="1">
        <v>1.0</v>
      </c>
      <c r="G31" s="1" t="str">
        <f t="shared" si="1"/>
        <v>2010 - French</v>
      </c>
      <c r="H31" s="1">
        <v>14.0</v>
      </c>
      <c r="I31" s="2">
        <f t="shared" ref="I31:K31" si="60">I30+D31</f>
        <v>16</v>
      </c>
      <c r="J31" s="2">
        <f t="shared" si="60"/>
        <v>7</v>
      </c>
      <c r="K31" s="2">
        <f t="shared" si="60"/>
        <v>1</v>
      </c>
      <c r="M31" s="2">
        <f t="shared" ref="M31:O31" si="61">-(max($H31:$K31)-I31)</f>
        <v>0</v>
      </c>
      <c r="N31" s="2">
        <f t="shared" si="61"/>
        <v>-9</v>
      </c>
      <c r="O31" s="2">
        <f t="shared" si="61"/>
        <v>-15</v>
      </c>
    </row>
    <row r="32">
      <c r="A32" s="2">
        <v>2010.0</v>
      </c>
      <c r="B32" s="2">
        <v>3.0</v>
      </c>
      <c r="C32" s="2" t="s">
        <v>12</v>
      </c>
      <c r="E32" s="1">
        <v>1.0</v>
      </c>
      <c r="G32" s="1" t="str">
        <f t="shared" si="1"/>
        <v>2010 - Wimbledon</v>
      </c>
      <c r="H32" s="1">
        <v>14.0</v>
      </c>
      <c r="I32" s="2">
        <f t="shared" ref="I32:K32" si="62">I31+D32</f>
        <v>16</v>
      </c>
      <c r="J32" s="2">
        <f t="shared" si="62"/>
        <v>8</v>
      </c>
      <c r="K32" s="2">
        <f t="shared" si="62"/>
        <v>1</v>
      </c>
      <c r="M32" s="2">
        <f t="shared" ref="M32:O32" si="63">-(max($H32:$K32)-I32)</f>
        <v>0</v>
      </c>
      <c r="N32" s="2">
        <f t="shared" si="63"/>
        <v>-8</v>
      </c>
      <c r="O32" s="2">
        <f t="shared" si="63"/>
        <v>-15</v>
      </c>
    </row>
    <row r="33">
      <c r="A33" s="2">
        <v>2010.0</v>
      </c>
      <c r="B33" s="2">
        <v>4.0</v>
      </c>
      <c r="C33" s="1" t="s">
        <v>13</v>
      </c>
      <c r="E33" s="1">
        <v>1.0</v>
      </c>
      <c r="G33" s="1" t="str">
        <f t="shared" si="1"/>
        <v>2010 - US</v>
      </c>
      <c r="H33" s="1">
        <v>14.0</v>
      </c>
      <c r="I33" s="2">
        <f t="shared" ref="I33:K33" si="64">I32+D33</f>
        <v>16</v>
      </c>
      <c r="J33" s="2">
        <f t="shared" si="64"/>
        <v>9</v>
      </c>
      <c r="K33" s="2">
        <f t="shared" si="64"/>
        <v>1</v>
      </c>
      <c r="M33" s="2">
        <f t="shared" ref="M33:O33" si="65">-(max($H33:$K33)-I33)</f>
        <v>0</v>
      </c>
      <c r="N33" s="2">
        <f t="shared" si="65"/>
        <v>-7</v>
      </c>
      <c r="O33" s="2">
        <f t="shared" si="65"/>
        <v>-15</v>
      </c>
    </row>
    <row r="34">
      <c r="A34" s="2">
        <v>2011.0</v>
      </c>
      <c r="B34" s="2">
        <v>1.0</v>
      </c>
      <c r="C34" s="1" t="s">
        <v>10</v>
      </c>
      <c r="F34" s="1">
        <v>1.0</v>
      </c>
      <c r="G34" s="1" t="str">
        <f t="shared" si="1"/>
        <v>2011 - Australian</v>
      </c>
      <c r="H34" s="1">
        <v>14.0</v>
      </c>
      <c r="I34" s="2">
        <f t="shared" ref="I34:K34" si="66">I33+D34</f>
        <v>16</v>
      </c>
      <c r="J34" s="2">
        <f t="shared" si="66"/>
        <v>9</v>
      </c>
      <c r="K34" s="2">
        <f t="shared" si="66"/>
        <v>2</v>
      </c>
      <c r="M34" s="2">
        <f t="shared" ref="M34:O34" si="67">-(max($H34:$K34)-I34)</f>
        <v>0</v>
      </c>
      <c r="N34" s="2">
        <f t="shared" si="67"/>
        <v>-7</v>
      </c>
      <c r="O34" s="2">
        <f t="shared" si="67"/>
        <v>-14</v>
      </c>
    </row>
    <row r="35">
      <c r="A35" s="2">
        <v>2011.0</v>
      </c>
      <c r="B35" s="2">
        <v>2.0</v>
      </c>
      <c r="C35" s="1" t="s">
        <v>11</v>
      </c>
      <c r="E35" s="1">
        <v>1.0</v>
      </c>
      <c r="G35" s="1" t="str">
        <f t="shared" si="1"/>
        <v>2011 - French</v>
      </c>
      <c r="H35" s="1">
        <v>14.0</v>
      </c>
      <c r="I35" s="2">
        <f t="shared" ref="I35:K35" si="68">I34+D35</f>
        <v>16</v>
      </c>
      <c r="J35" s="2">
        <f t="shared" si="68"/>
        <v>10</v>
      </c>
      <c r="K35" s="2">
        <f t="shared" si="68"/>
        <v>2</v>
      </c>
      <c r="M35" s="2">
        <f t="shared" ref="M35:O35" si="69">-(max($H35:$K35)-I35)</f>
        <v>0</v>
      </c>
      <c r="N35" s="2">
        <f t="shared" si="69"/>
        <v>-6</v>
      </c>
      <c r="O35" s="2">
        <f t="shared" si="69"/>
        <v>-14</v>
      </c>
    </row>
    <row r="36">
      <c r="A36" s="2">
        <v>2011.0</v>
      </c>
      <c r="B36" s="2">
        <v>3.0</v>
      </c>
      <c r="C36" s="2" t="s">
        <v>12</v>
      </c>
      <c r="F36" s="1">
        <v>1.0</v>
      </c>
      <c r="G36" s="1" t="str">
        <f t="shared" si="1"/>
        <v>2011 - Wimbledon</v>
      </c>
      <c r="H36" s="1">
        <v>14.0</v>
      </c>
      <c r="I36" s="2">
        <f t="shared" ref="I36:K36" si="70">I35+D36</f>
        <v>16</v>
      </c>
      <c r="J36" s="2">
        <f t="shared" si="70"/>
        <v>10</v>
      </c>
      <c r="K36" s="2">
        <f t="shared" si="70"/>
        <v>3</v>
      </c>
      <c r="M36" s="2">
        <f t="shared" ref="M36:O36" si="71">-(max($H36:$K36)-I36)</f>
        <v>0</v>
      </c>
      <c r="N36" s="2">
        <f t="shared" si="71"/>
        <v>-6</v>
      </c>
      <c r="O36" s="2">
        <f t="shared" si="71"/>
        <v>-13</v>
      </c>
    </row>
    <row r="37">
      <c r="A37" s="2">
        <v>2011.0</v>
      </c>
      <c r="B37" s="2">
        <v>4.0</v>
      </c>
      <c r="C37" s="1" t="s">
        <v>13</v>
      </c>
      <c r="F37" s="1">
        <v>1.0</v>
      </c>
      <c r="G37" s="1" t="str">
        <f t="shared" si="1"/>
        <v>2011 - US</v>
      </c>
      <c r="H37" s="1">
        <v>14.0</v>
      </c>
      <c r="I37" s="2">
        <f t="shared" ref="I37:K37" si="72">I36+D37</f>
        <v>16</v>
      </c>
      <c r="J37" s="2">
        <f t="shared" si="72"/>
        <v>10</v>
      </c>
      <c r="K37" s="2">
        <f t="shared" si="72"/>
        <v>4</v>
      </c>
      <c r="M37" s="2">
        <f t="shared" ref="M37:O37" si="73">-(max($H37:$K37)-I37)</f>
        <v>0</v>
      </c>
      <c r="N37" s="2">
        <f t="shared" si="73"/>
        <v>-6</v>
      </c>
      <c r="O37" s="2">
        <f t="shared" si="73"/>
        <v>-12</v>
      </c>
    </row>
    <row r="38">
      <c r="A38" s="2">
        <v>2012.0</v>
      </c>
      <c r="B38" s="2">
        <v>1.0</v>
      </c>
      <c r="C38" s="1" t="s">
        <v>10</v>
      </c>
      <c r="F38" s="1">
        <v>1.0</v>
      </c>
      <c r="G38" s="1" t="str">
        <f t="shared" si="1"/>
        <v>2012 - Australian</v>
      </c>
      <c r="H38" s="1">
        <v>14.0</v>
      </c>
      <c r="I38" s="2">
        <f t="shared" ref="I38:K38" si="74">I37+D38</f>
        <v>16</v>
      </c>
      <c r="J38" s="2">
        <f t="shared" si="74"/>
        <v>10</v>
      </c>
      <c r="K38" s="2">
        <f t="shared" si="74"/>
        <v>5</v>
      </c>
      <c r="M38" s="2">
        <f t="shared" ref="M38:O38" si="75">-(max($H38:$K38)-I38)</f>
        <v>0</v>
      </c>
      <c r="N38" s="2">
        <f t="shared" si="75"/>
        <v>-6</v>
      </c>
      <c r="O38" s="2">
        <f t="shared" si="75"/>
        <v>-11</v>
      </c>
    </row>
    <row r="39">
      <c r="A39" s="2">
        <v>2012.0</v>
      </c>
      <c r="B39" s="2">
        <v>2.0</v>
      </c>
      <c r="C39" s="1" t="s">
        <v>11</v>
      </c>
      <c r="E39" s="1">
        <v>1.0</v>
      </c>
      <c r="G39" s="1" t="str">
        <f t="shared" si="1"/>
        <v>2012 - French</v>
      </c>
      <c r="H39" s="1">
        <v>14.0</v>
      </c>
      <c r="I39" s="2">
        <f t="shared" ref="I39:K39" si="76">I38+D39</f>
        <v>16</v>
      </c>
      <c r="J39" s="2">
        <f t="shared" si="76"/>
        <v>11</v>
      </c>
      <c r="K39" s="2">
        <f t="shared" si="76"/>
        <v>5</v>
      </c>
      <c r="M39" s="2">
        <f t="shared" ref="M39:O39" si="77">-(max($H39:$K39)-I39)</f>
        <v>0</v>
      </c>
      <c r="N39" s="2">
        <f t="shared" si="77"/>
        <v>-5</v>
      </c>
      <c r="O39" s="2">
        <f t="shared" si="77"/>
        <v>-11</v>
      </c>
    </row>
    <row r="40">
      <c r="A40" s="2">
        <v>2012.0</v>
      </c>
      <c r="B40" s="2">
        <v>3.0</v>
      </c>
      <c r="C40" s="2" t="s">
        <v>12</v>
      </c>
      <c r="D40" s="1">
        <v>1.0</v>
      </c>
      <c r="G40" s="1" t="str">
        <f t="shared" si="1"/>
        <v>2012 - Wimbledon</v>
      </c>
      <c r="H40" s="1">
        <v>14.0</v>
      </c>
      <c r="I40" s="2">
        <f t="shared" ref="I40:K40" si="78">I39+D40</f>
        <v>17</v>
      </c>
      <c r="J40" s="2">
        <f t="shared" si="78"/>
        <v>11</v>
      </c>
      <c r="K40" s="2">
        <f t="shared" si="78"/>
        <v>5</v>
      </c>
      <c r="M40" s="2">
        <f t="shared" ref="M40:O40" si="79">-(max($H40:$K40)-I40)</f>
        <v>0</v>
      </c>
      <c r="N40" s="2">
        <f t="shared" si="79"/>
        <v>-6</v>
      </c>
      <c r="O40" s="2">
        <f t="shared" si="79"/>
        <v>-12</v>
      </c>
    </row>
    <row r="41">
      <c r="A41" s="2">
        <v>2012.0</v>
      </c>
      <c r="B41" s="2">
        <v>4.0</v>
      </c>
      <c r="C41" s="1" t="s">
        <v>13</v>
      </c>
      <c r="G41" s="1" t="str">
        <f t="shared" si="1"/>
        <v>2012 - US</v>
      </c>
      <c r="H41" s="1">
        <v>14.0</v>
      </c>
      <c r="I41" s="2">
        <f t="shared" ref="I41:K41" si="80">I40+D41</f>
        <v>17</v>
      </c>
      <c r="J41" s="2">
        <f t="shared" si="80"/>
        <v>11</v>
      </c>
      <c r="K41" s="2">
        <f t="shared" si="80"/>
        <v>5</v>
      </c>
      <c r="M41" s="2">
        <f t="shared" ref="M41:O41" si="81">-(max($H41:$K41)-I41)</f>
        <v>0</v>
      </c>
      <c r="N41" s="2">
        <f t="shared" si="81"/>
        <v>-6</v>
      </c>
      <c r="O41" s="2">
        <f t="shared" si="81"/>
        <v>-12</v>
      </c>
    </row>
    <row r="42">
      <c r="A42" s="2">
        <v>2013.0</v>
      </c>
      <c r="B42" s="2">
        <v>1.0</v>
      </c>
      <c r="C42" s="1" t="s">
        <v>10</v>
      </c>
      <c r="F42" s="1">
        <v>1.0</v>
      </c>
      <c r="G42" s="1" t="str">
        <f t="shared" si="1"/>
        <v>2013 - Australian</v>
      </c>
      <c r="H42" s="1">
        <v>14.0</v>
      </c>
      <c r="I42" s="2">
        <f t="shared" ref="I42:K42" si="82">I41+D42</f>
        <v>17</v>
      </c>
      <c r="J42" s="2">
        <f t="shared" si="82"/>
        <v>11</v>
      </c>
      <c r="K42" s="2">
        <f t="shared" si="82"/>
        <v>6</v>
      </c>
      <c r="M42" s="2">
        <f t="shared" ref="M42:O42" si="83">-(max($H42:$K42)-I42)</f>
        <v>0</v>
      </c>
      <c r="N42" s="2">
        <f t="shared" si="83"/>
        <v>-6</v>
      </c>
      <c r="O42" s="2">
        <f t="shared" si="83"/>
        <v>-11</v>
      </c>
    </row>
    <row r="43">
      <c r="A43" s="2">
        <v>2013.0</v>
      </c>
      <c r="B43" s="2">
        <v>2.0</v>
      </c>
      <c r="C43" s="1" t="s">
        <v>11</v>
      </c>
      <c r="E43" s="1">
        <v>1.0</v>
      </c>
      <c r="G43" s="1" t="str">
        <f t="shared" si="1"/>
        <v>2013 - French</v>
      </c>
      <c r="H43" s="1">
        <v>14.0</v>
      </c>
      <c r="I43" s="2">
        <f t="shared" ref="I43:K43" si="84">I42+D43</f>
        <v>17</v>
      </c>
      <c r="J43" s="2">
        <f t="shared" si="84"/>
        <v>12</v>
      </c>
      <c r="K43" s="2">
        <f t="shared" si="84"/>
        <v>6</v>
      </c>
      <c r="M43" s="2">
        <f t="shared" ref="M43:O43" si="85">-(max($H43:$K43)-I43)</f>
        <v>0</v>
      </c>
      <c r="N43" s="2">
        <f t="shared" si="85"/>
        <v>-5</v>
      </c>
      <c r="O43" s="2">
        <f t="shared" si="85"/>
        <v>-11</v>
      </c>
    </row>
    <row r="44">
      <c r="A44" s="2">
        <v>2013.0</v>
      </c>
      <c r="B44" s="2">
        <v>3.0</v>
      </c>
      <c r="C44" s="2" t="s">
        <v>12</v>
      </c>
      <c r="G44" s="1" t="str">
        <f t="shared" si="1"/>
        <v>2013 - Wimbledon</v>
      </c>
      <c r="H44" s="1">
        <v>14.0</v>
      </c>
      <c r="I44" s="2">
        <f t="shared" ref="I44:K44" si="86">I43+D44</f>
        <v>17</v>
      </c>
      <c r="J44" s="2">
        <f t="shared" si="86"/>
        <v>12</v>
      </c>
      <c r="K44" s="2">
        <f t="shared" si="86"/>
        <v>6</v>
      </c>
      <c r="M44" s="2">
        <f t="shared" ref="M44:O44" si="87">-(max($H44:$K44)-I44)</f>
        <v>0</v>
      </c>
      <c r="N44" s="2">
        <f t="shared" si="87"/>
        <v>-5</v>
      </c>
      <c r="O44" s="2">
        <f t="shared" si="87"/>
        <v>-11</v>
      </c>
    </row>
    <row r="45">
      <c r="A45" s="2">
        <v>2013.0</v>
      </c>
      <c r="B45" s="2">
        <v>4.0</v>
      </c>
      <c r="C45" s="1" t="s">
        <v>13</v>
      </c>
      <c r="E45" s="1">
        <v>1.0</v>
      </c>
      <c r="G45" s="1" t="str">
        <f t="shared" si="1"/>
        <v>2013 - US</v>
      </c>
      <c r="H45" s="1">
        <v>14.0</v>
      </c>
      <c r="I45" s="2">
        <f t="shared" ref="I45:K45" si="88">I44+D45</f>
        <v>17</v>
      </c>
      <c r="J45" s="2">
        <f t="shared" si="88"/>
        <v>13</v>
      </c>
      <c r="K45" s="2">
        <f t="shared" si="88"/>
        <v>6</v>
      </c>
      <c r="M45" s="2">
        <f t="shared" ref="M45:O45" si="89">-(max($H45:$K45)-I45)</f>
        <v>0</v>
      </c>
      <c r="N45" s="2">
        <f t="shared" si="89"/>
        <v>-4</v>
      </c>
      <c r="O45" s="2">
        <f t="shared" si="89"/>
        <v>-11</v>
      </c>
    </row>
    <row r="46">
      <c r="A46" s="2">
        <v>2014.0</v>
      </c>
      <c r="B46" s="2">
        <v>1.0</v>
      </c>
      <c r="C46" s="1" t="s">
        <v>10</v>
      </c>
      <c r="G46" s="1" t="str">
        <f t="shared" si="1"/>
        <v>2014 - Australian</v>
      </c>
      <c r="H46" s="1">
        <v>14.0</v>
      </c>
      <c r="I46" s="2">
        <f t="shared" ref="I46:K46" si="90">I45+D46</f>
        <v>17</v>
      </c>
      <c r="J46" s="2">
        <f t="shared" si="90"/>
        <v>13</v>
      </c>
      <c r="K46" s="2">
        <f t="shared" si="90"/>
        <v>6</v>
      </c>
      <c r="M46" s="2">
        <f t="shared" ref="M46:O46" si="91">-(max($H46:$K46)-I46)</f>
        <v>0</v>
      </c>
      <c r="N46" s="2">
        <f t="shared" si="91"/>
        <v>-4</v>
      </c>
      <c r="O46" s="2">
        <f t="shared" si="91"/>
        <v>-11</v>
      </c>
    </row>
    <row r="47">
      <c r="A47" s="2">
        <v>2014.0</v>
      </c>
      <c r="B47" s="2">
        <v>2.0</v>
      </c>
      <c r="C47" s="1" t="s">
        <v>11</v>
      </c>
      <c r="E47" s="1">
        <v>1.0</v>
      </c>
      <c r="G47" s="1" t="str">
        <f t="shared" si="1"/>
        <v>2014 - French</v>
      </c>
      <c r="H47" s="1">
        <v>14.0</v>
      </c>
      <c r="I47" s="2">
        <f t="shared" ref="I47:K47" si="92">I46+D47</f>
        <v>17</v>
      </c>
      <c r="J47" s="2">
        <f t="shared" si="92"/>
        <v>14</v>
      </c>
      <c r="K47" s="2">
        <f t="shared" si="92"/>
        <v>6</v>
      </c>
      <c r="M47" s="2">
        <f t="shared" ref="M47:O47" si="93">-(max($H47:$K47)-I47)</f>
        <v>0</v>
      </c>
      <c r="N47" s="2">
        <f t="shared" si="93"/>
        <v>-3</v>
      </c>
      <c r="O47" s="2">
        <f t="shared" si="93"/>
        <v>-11</v>
      </c>
    </row>
    <row r="48">
      <c r="A48" s="2">
        <v>2014.0</v>
      </c>
      <c r="B48" s="2">
        <v>3.0</v>
      </c>
      <c r="C48" s="2" t="s">
        <v>12</v>
      </c>
      <c r="F48" s="1">
        <v>1.0</v>
      </c>
      <c r="G48" s="1" t="str">
        <f t="shared" si="1"/>
        <v>2014 - Wimbledon</v>
      </c>
      <c r="H48" s="1">
        <v>14.0</v>
      </c>
      <c r="I48" s="2">
        <f t="shared" ref="I48:K48" si="94">I47+D48</f>
        <v>17</v>
      </c>
      <c r="J48" s="2">
        <f t="shared" si="94"/>
        <v>14</v>
      </c>
      <c r="K48" s="2">
        <f t="shared" si="94"/>
        <v>7</v>
      </c>
      <c r="M48" s="2">
        <f t="shared" ref="M48:O48" si="95">-(max($H48:$K48)-I48)</f>
        <v>0</v>
      </c>
      <c r="N48" s="2">
        <f t="shared" si="95"/>
        <v>-3</v>
      </c>
      <c r="O48" s="2">
        <f t="shared" si="95"/>
        <v>-10</v>
      </c>
    </row>
    <row r="49">
      <c r="A49" s="2">
        <v>2014.0</v>
      </c>
      <c r="B49" s="2">
        <v>4.0</v>
      </c>
      <c r="C49" s="1" t="s">
        <v>13</v>
      </c>
      <c r="G49" s="1" t="str">
        <f t="shared" si="1"/>
        <v>2014 - US</v>
      </c>
      <c r="H49" s="1">
        <v>14.0</v>
      </c>
      <c r="I49" s="2">
        <f t="shared" ref="I49:K49" si="96">I48+D49</f>
        <v>17</v>
      </c>
      <c r="J49" s="2">
        <f t="shared" si="96"/>
        <v>14</v>
      </c>
      <c r="K49" s="2">
        <f t="shared" si="96"/>
        <v>7</v>
      </c>
      <c r="M49" s="2">
        <f t="shared" ref="M49:O49" si="97">-(max($H49:$K49)-I49)</f>
        <v>0</v>
      </c>
      <c r="N49" s="2">
        <f t="shared" si="97"/>
        <v>-3</v>
      </c>
      <c r="O49" s="2">
        <f t="shared" si="97"/>
        <v>-10</v>
      </c>
    </row>
    <row r="50">
      <c r="A50" s="2">
        <v>2015.0</v>
      </c>
      <c r="B50" s="2">
        <v>1.0</v>
      </c>
      <c r="C50" s="1" t="s">
        <v>10</v>
      </c>
      <c r="F50" s="1">
        <v>1.0</v>
      </c>
      <c r="G50" s="1" t="str">
        <f t="shared" si="1"/>
        <v>2015 - Australian</v>
      </c>
      <c r="H50" s="1">
        <v>14.0</v>
      </c>
      <c r="I50" s="2">
        <f t="shared" ref="I50:K50" si="98">I49+D50</f>
        <v>17</v>
      </c>
      <c r="J50" s="2">
        <f t="shared" si="98"/>
        <v>14</v>
      </c>
      <c r="K50" s="2">
        <f t="shared" si="98"/>
        <v>8</v>
      </c>
      <c r="M50" s="2">
        <f t="shared" ref="M50:O50" si="99">-(max($H50:$K50)-I50)</f>
        <v>0</v>
      </c>
      <c r="N50" s="2">
        <f t="shared" si="99"/>
        <v>-3</v>
      </c>
      <c r="O50" s="2">
        <f t="shared" si="99"/>
        <v>-9</v>
      </c>
    </row>
    <row r="51">
      <c r="A51" s="2">
        <v>2015.0</v>
      </c>
      <c r="B51" s="2">
        <v>2.0</v>
      </c>
      <c r="C51" s="1" t="s">
        <v>11</v>
      </c>
      <c r="G51" s="1" t="str">
        <f t="shared" si="1"/>
        <v>2015 - French</v>
      </c>
      <c r="H51" s="1">
        <v>14.0</v>
      </c>
      <c r="I51" s="2">
        <f t="shared" ref="I51:K51" si="100">I50+D51</f>
        <v>17</v>
      </c>
      <c r="J51" s="2">
        <f t="shared" si="100"/>
        <v>14</v>
      </c>
      <c r="K51" s="2">
        <f t="shared" si="100"/>
        <v>8</v>
      </c>
      <c r="M51" s="2">
        <f t="shared" ref="M51:O51" si="101">-(max($H51:$K51)-I51)</f>
        <v>0</v>
      </c>
      <c r="N51" s="2">
        <f t="shared" si="101"/>
        <v>-3</v>
      </c>
      <c r="O51" s="2">
        <f t="shared" si="101"/>
        <v>-9</v>
      </c>
    </row>
    <row r="52">
      <c r="A52" s="2">
        <v>2015.0</v>
      </c>
      <c r="B52" s="2">
        <v>3.0</v>
      </c>
      <c r="C52" s="2" t="s">
        <v>12</v>
      </c>
      <c r="F52" s="1">
        <v>1.0</v>
      </c>
      <c r="G52" s="1" t="str">
        <f t="shared" si="1"/>
        <v>2015 - Wimbledon</v>
      </c>
      <c r="H52" s="1">
        <v>14.0</v>
      </c>
      <c r="I52" s="2">
        <f t="shared" ref="I52:K52" si="102">I51+D52</f>
        <v>17</v>
      </c>
      <c r="J52" s="2">
        <f t="shared" si="102"/>
        <v>14</v>
      </c>
      <c r="K52" s="2">
        <f t="shared" si="102"/>
        <v>9</v>
      </c>
      <c r="M52" s="2">
        <f t="shared" ref="M52:O52" si="103">-(max($H52:$K52)-I52)</f>
        <v>0</v>
      </c>
      <c r="N52" s="2">
        <f t="shared" si="103"/>
        <v>-3</v>
      </c>
      <c r="O52" s="2">
        <f t="shared" si="103"/>
        <v>-8</v>
      </c>
    </row>
    <row r="53">
      <c r="A53" s="2">
        <v>2015.0</v>
      </c>
      <c r="B53" s="2">
        <v>4.0</v>
      </c>
      <c r="C53" s="1" t="s">
        <v>13</v>
      </c>
      <c r="F53" s="1">
        <v>1.0</v>
      </c>
      <c r="G53" s="1" t="str">
        <f t="shared" si="1"/>
        <v>2015 - US</v>
      </c>
      <c r="H53" s="1">
        <v>14.0</v>
      </c>
      <c r="I53" s="2">
        <f t="shared" ref="I53:K53" si="104">I52+D53</f>
        <v>17</v>
      </c>
      <c r="J53" s="2">
        <f t="shared" si="104"/>
        <v>14</v>
      </c>
      <c r="K53" s="2">
        <f t="shared" si="104"/>
        <v>10</v>
      </c>
      <c r="M53" s="2">
        <f t="shared" ref="M53:O53" si="105">-(max($H53:$K53)-I53)</f>
        <v>0</v>
      </c>
      <c r="N53" s="2">
        <f t="shared" si="105"/>
        <v>-3</v>
      </c>
      <c r="O53" s="2">
        <f t="shared" si="105"/>
        <v>-7</v>
      </c>
    </row>
    <row r="54">
      <c r="A54" s="2">
        <v>2016.0</v>
      </c>
      <c r="B54" s="2">
        <v>1.0</v>
      </c>
      <c r="C54" s="1" t="s">
        <v>10</v>
      </c>
      <c r="F54" s="1">
        <v>1.0</v>
      </c>
      <c r="G54" s="1" t="str">
        <f t="shared" si="1"/>
        <v>2016 - Australian</v>
      </c>
      <c r="H54" s="1">
        <v>14.0</v>
      </c>
      <c r="I54" s="2">
        <f t="shared" ref="I54:K54" si="106">I53+D54</f>
        <v>17</v>
      </c>
      <c r="J54" s="2">
        <f t="shared" si="106"/>
        <v>14</v>
      </c>
      <c r="K54" s="2">
        <f t="shared" si="106"/>
        <v>11</v>
      </c>
      <c r="M54" s="2">
        <f t="shared" ref="M54:O54" si="107">-(max($H54:$K54)-I54)</f>
        <v>0</v>
      </c>
      <c r="N54" s="2">
        <f t="shared" si="107"/>
        <v>-3</v>
      </c>
      <c r="O54" s="2">
        <f t="shared" si="107"/>
        <v>-6</v>
      </c>
    </row>
    <row r="55">
      <c r="A55" s="2">
        <v>2016.0</v>
      </c>
      <c r="B55" s="2">
        <v>2.0</v>
      </c>
      <c r="C55" s="1" t="s">
        <v>11</v>
      </c>
      <c r="F55" s="1">
        <v>1.0</v>
      </c>
      <c r="G55" s="1" t="str">
        <f t="shared" si="1"/>
        <v>2016 - French</v>
      </c>
      <c r="H55" s="1">
        <v>14.0</v>
      </c>
      <c r="I55" s="2">
        <f t="shared" ref="I55:K55" si="108">I54+D55</f>
        <v>17</v>
      </c>
      <c r="J55" s="2">
        <f t="shared" si="108"/>
        <v>14</v>
      </c>
      <c r="K55" s="2">
        <f t="shared" si="108"/>
        <v>12</v>
      </c>
      <c r="M55" s="2">
        <f t="shared" ref="M55:O55" si="109">-(max($H55:$K55)-I55)</f>
        <v>0</v>
      </c>
      <c r="N55" s="2">
        <f t="shared" si="109"/>
        <v>-3</v>
      </c>
      <c r="O55" s="2">
        <f t="shared" si="109"/>
        <v>-5</v>
      </c>
    </row>
    <row r="56">
      <c r="A56" s="2">
        <v>2016.0</v>
      </c>
      <c r="B56" s="2">
        <v>3.0</v>
      </c>
      <c r="C56" s="2" t="s">
        <v>12</v>
      </c>
      <c r="G56" s="1" t="str">
        <f t="shared" si="1"/>
        <v>2016 - Wimbledon</v>
      </c>
      <c r="H56" s="1">
        <v>14.0</v>
      </c>
      <c r="I56" s="2">
        <f t="shared" ref="I56:K56" si="110">I55+D56</f>
        <v>17</v>
      </c>
      <c r="J56" s="2">
        <f t="shared" si="110"/>
        <v>14</v>
      </c>
      <c r="K56" s="2">
        <f t="shared" si="110"/>
        <v>12</v>
      </c>
      <c r="M56" s="2">
        <f t="shared" ref="M56:O56" si="111">-(max($H56:$K56)-I56)</f>
        <v>0</v>
      </c>
      <c r="N56" s="2">
        <f t="shared" si="111"/>
        <v>-3</v>
      </c>
      <c r="O56" s="2">
        <f t="shared" si="111"/>
        <v>-5</v>
      </c>
    </row>
    <row r="57">
      <c r="A57" s="2">
        <v>2016.0</v>
      </c>
      <c r="B57" s="2">
        <v>4.0</v>
      </c>
      <c r="C57" s="1" t="s">
        <v>13</v>
      </c>
      <c r="G57" s="1" t="str">
        <f t="shared" si="1"/>
        <v>2016 - US</v>
      </c>
      <c r="H57" s="1">
        <v>14.0</v>
      </c>
      <c r="I57" s="2">
        <f t="shared" ref="I57:K57" si="112">I56+D57</f>
        <v>17</v>
      </c>
      <c r="J57" s="2">
        <f t="shared" si="112"/>
        <v>14</v>
      </c>
      <c r="K57" s="2">
        <f t="shared" si="112"/>
        <v>12</v>
      </c>
      <c r="M57" s="2">
        <f t="shared" ref="M57:O57" si="113">-(max($H57:$K57)-I57)</f>
        <v>0</v>
      </c>
      <c r="N57" s="2">
        <f t="shared" si="113"/>
        <v>-3</v>
      </c>
      <c r="O57" s="2">
        <f t="shared" si="113"/>
        <v>-5</v>
      </c>
    </row>
    <row r="58">
      <c r="A58" s="2">
        <v>2017.0</v>
      </c>
      <c r="B58" s="2">
        <v>1.0</v>
      </c>
      <c r="C58" s="1" t="s">
        <v>10</v>
      </c>
      <c r="D58" s="1">
        <v>1.0</v>
      </c>
      <c r="G58" s="1" t="str">
        <f t="shared" si="1"/>
        <v>2017 - Australian</v>
      </c>
      <c r="H58" s="1">
        <v>14.0</v>
      </c>
      <c r="I58" s="2">
        <f t="shared" ref="I58:K58" si="114">I57+D58</f>
        <v>18</v>
      </c>
      <c r="J58" s="2">
        <f t="shared" si="114"/>
        <v>14</v>
      </c>
      <c r="K58" s="2">
        <f t="shared" si="114"/>
        <v>12</v>
      </c>
      <c r="M58" s="2">
        <f t="shared" ref="M58:O58" si="115">-(max($H58:$K58)-I58)</f>
        <v>0</v>
      </c>
      <c r="N58" s="2">
        <f t="shared" si="115"/>
        <v>-4</v>
      </c>
      <c r="O58" s="2">
        <f t="shared" si="115"/>
        <v>-6</v>
      </c>
    </row>
    <row r="59">
      <c r="A59" s="2">
        <v>2017.0</v>
      </c>
      <c r="B59" s="2">
        <v>2.0</v>
      </c>
      <c r="C59" s="1" t="s">
        <v>11</v>
      </c>
      <c r="E59" s="1">
        <v>1.0</v>
      </c>
      <c r="G59" s="1" t="str">
        <f t="shared" si="1"/>
        <v>2017 - French</v>
      </c>
      <c r="H59" s="1">
        <v>14.0</v>
      </c>
      <c r="I59" s="2">
        <f t="shared" ref="I59:K59" si="116">I58+D59</f>
        <v>18</v>
      </c>
      <c r="J59" s="2">
        <f t="shared" si="116"/>
        <v>15</v>
      </c>
      <c r="K59" s="2">
        <f t="shared" si="116"/>
        <v>12</v>
      </c>
      <c r="M59" s="2">
        <f t="shared" ref="M59:O59" si="117">-(max($H59:$K59)-I59)</f>
        <v>0</v>
      </c>
      <c r="N59" s="2">
        <f t="shared" si="117"/>
        <v>-3</v>
      </c>
      <c r="O59" s="2">
        <f t="shared" si="117"/>
        <v>-6</v>
      </c>
    </row>
    <row r="60">
      <c r="A60" s="2">
        <v>2017.0</v>
      </c>
      <c r="B60" s="2">
        <v>3.0</v>
      </c>
      <c r="C60" s="2" t="s">
        <v>12</v>
      </c>
      <c r="D60" s="1">
        <v>1.0</v>
      </c>
      <c r="G60" s="1" t="str">
        <f t="shared" si="1"/>
        <v>2017 - Wimbledon</v>
      </c>
      <c r="H60" s="1">
        <v>14.0</v>
      </c>
      <c r="I60" s="2">
        <f t="shared" ref="I60:K60" si="118">I59+D60</f>
        <v>19</v>
      </c>
      <c r="J60" s="2">
        <f t="shared" si="118"/>
        <v>15</v>
      </c>
      <c r="K60" s="2">
        <f t="shared" si="118"/>
        <v>12</v>
      </c>
      <c r="M60" s="2">
        <f t="shared" ref="M60:O60" si="119">-(max($H60:$K60)-I60)</f>
        <v>0</v>
      </c>
      <c r="N60" s="2">
        <f t="shared" si="119"/>
        <v>-4</v>
      </c>
      <c r="O60" s="2">
        <f t="shared" si="119"/>
        <v>-7</v>
      </c>
    </row>
    <row r="61">
      <c r="A61" s="2">
        <v>2017.0</v>
      </c>
      <c r="B61" s="2">
        <v>4.0</v>
      </c>
      <c r="C61" s="1" t="s">
        <v>13</v>
      </c>
      <c r="E61" s="1">
        <v>1.0</v>
      </c>
      <c r="G61" s="1" t="str">
        <f t="shared" si="1"/>
        <v>2017 - US</v>
      </c>
      <c r="H61" s="1">
        <v>14.0</v>
      </c>
      <c r="I61" s="2">
        <f t="shared" ref="I61:K61" si="120">I60+D61</f>
        <v>19</v>
      </c>
      <c r="J61" s="2">
        <f t="shared" si="120"/>
        <v>16</v>
      </c>
      <c r="K61" s="2">
        <f t="shared" si="120"/>
        <v>12</v>
      </c>
      <c r="M61" s="2">
        <f t="shared" ref="M61:O61" si="121">-(max($H61:$K61)-I61)</f>
        <v>0</v>
      </c>
      <c r="N61" s="2">
        <f t="shared" si="121"/>
        <v>-3</v>
      </c>
      <c r="O61" s="2">
        <f t="shared" si="121"/>
        <v>-7</v>
      </c>
    </row>
    <row r="62">
      <c r="A62" s="2">
        <v>2018.0</v>
      </c>
      <c r="B62" s="2">
        <v>1.0</v>
      </c>
      <c r="C62" s="1" t="s">
        <v>10</v>
      </c>
      <c r="D62" s="1">
        <v>1.0</v>
      </c>
      <c r="G62" s="1" t="str">
        <f t="shared" si="1"/>
        <v>2018 - Australian</v>
      </c>
      <c r="H62" s="1">
        <v>14.0</v>
      </c>
      <c r="I62" s="2">
        <f t="shared" ref="I62:K62" si="122">I61+D62</f>
        <v>20</v>
      </c>
      <c r="J62" s="2">
        <f t="shared" si="122"/>
        <v>16</v>
      </c>
      <c r="K62" s="2">
        <f t="shared" si="122"/>
        <v>12</v>
      </c>
      <c r="M62" s="2">
        <f t="shared" ref="M62:O62" si="123">-(max($H62:$K62)-I62)</f>
        <v>0</v>
      </c>
      <c r="N62" s="2">
        <f t="shared" si="123"/>
        <v>-4</v>
      </c>
      <c r="O62" s="2">
        <f t="shared" si="123"/>
        <v>-8</v>
      </c>
    </row>
    <row r="63">
      <c r="A63" s="2">
        <v>2018.0</v>
      </c>
      <c r="B63" s="2">
        <v>2.0</v>
      </c>
      <c r="C63" s="1" t="s">
        <v>11</v>
      </c>
      <c r="E63" s="1">
        <v>1.0</v>
      </c>
      <c r="G63" s="1" t="str">
        <f t="shared" si="1"/>
        <v>2018 - French</v>
      </c>
      <c r="H63" s="1">
        <v>14.0</v>
      </c>
      <c r="I63" s="2">
        <f t="shared" ref="I63:K63" si="124">I62+D63</f>
        <v>20</v>
      </c>
      <c r="J63" s="2">
        <f t="shared" si="124"/>
        <v>17</v>
      </c>
      <c r="K63" s="2">
        <f t="shared" si="124"/>
        <v>12</v>
      </c>
      <c r="M63" s="2">
        <f t="shared" ref="M63:O63" si="125">-(max($H63:$K63)-I63)</f>
        <v>0</v>
      </c>
      <c r="N63" s="2">
        <f t="shared" si="125"/>
        <v>-3</v>
      </c>
      <c r="O63" s="2">
        <f t="shared" si="125"/>
        <v>-8</v>
      </c>
    </row>
    <row r="64">
      <c r="A64" s="2">
        <v>2018.0</v>
      </c>
      <c r="B64" s="2">
        <v>3.0</v>
      </c>
      <c r="C64" s="2" t="s">
        <v>12</v>
      </c>
      <c r="F64" s="1">
        <v>1.0</v>
      </c>
      <c r="G64" s="1" t="str">
        <f t="shared" si="1"/>
        <v>2018 - Wimbledon</v>
      </c>
      <c r="H64" s="1">
        <v>14.0</v>
      </c>
      <c r="I64" s="2">
        <f t="shared" ref="I64:K64" si="126">I63+D64</f>
        <v>20</v>
      </c>
      <c r="J64" s="2">
        <f t="shared" si="126"/>
        <v>17</v>
      </c>
      <c r="K64" s="2">
        <f t="shared" si="126"/>
        <v>13</v>
      </c>
      <c r="M64" s="2">
        <f t="shared" ref="M64:O64" si="127">-(max($H64:$K64)-I64)</f>
        <v>0</v>
      </c>
      <c r="N64" s="2">
        <f t="shared" si="127"/>
        <v>-3</v>
      </c>
      <c r="O64" s="2">
        <f t="shared" si="127"/>
        <v>-7</v>
      </c>
    </row>
    <row r="65">
      <c r="A65" s="2">
        <v>2018.0</v>
      </c>
      <c r="B65" s="2">
        <v>4.0</v>
      </c>
      <c r="C65" s="1" t="s">
        <v>13</v>
      </c>
      <c r="F65" s="1">
        <v>1.0</v>
      </c>
      <c r="G65" s="1" t="str">
        <f t="shared" si="1"/>
        <v>2018 - US</v>
      </c>
      <c r="H65" s="1">
        <v>14.0</v>
      </c>
      <c r="I65" s="2">
        <f t="shared" ref="I65:K65" si="128">I64+D65</f>
        <v>20</v>
      </c>
      <c r="J65" s="2">
        <f t="shared" si="128"/>
        <v>17</v>
      </c>
      <c r="K65" s="2">
        <f t="shared" si="128"/>
        <v>14</v>
      </c>
      <c r="M65" s="2">
        <f t="shared" ref="M65:O65" si="129">-(max($H65:$K65)-I65)</f>
        <v>0</v>
      </c>
      <c r="N65" s="2">
        <f t="shared" si="129"/>
        <v>-3</v>
      </c>
      <c r="O65" s="2">
        <f t="shared" si="129"/>
        <v>-6</v>
      </c>
    </row>
    <row r="66">
      <c r="A66" s="2">
        <v>2019.0</v>
      </c>
      <c r="B66" s="2">
        <v>1.0</v>
      </c>
      <c r="C66" s="1" t="s">
        <v>10</v>
      </c>
      <c r="F66" s="1">
        <v>1.0</v>
      </c>
      <c r="G66" s="1" t="str">
        <f t="shared" si="1"/>
        <v>2019 - Australian</v>
      </c>
      <c r="H66" s="1">
        <v>14.0</v>
      </c>
      <c r="I66" s="2">
        <f t="shared" ref="I66:K66" si="130">I65+D66</f>
        <v>20</v>
      </c>
      <c r="J66" s="2">
        <f t="shared" si="130"/>
        <v>17</v>
      </c>
      <c r="K66" s="2">
        <f t="shared" si="130"/>
        <v>15</v>
      </c>
      <c r="M66" s="2">
        <f t="shared" ref="M66:O66" si="131">-(max($H66:$K66)-I66)</f>
        <v>0</v>
      </c>
      <c r="N66" s="2">
        <f t="shared" si="131"/>
        <v>-3</v>
      </c>
      <c r="O66" s="2">
        <f t="shared" si="131"/>
        <v>-5</v>
      </c>
    </row>
    <row r="67">
      <c r="A67" s="2">
        <v>2019.0</v>
      </c>
      <c r="B67" s="2">
        <v>2.0</v>
      </c>
      <c r="C67" s="1" t="s">
        <v>11</v>
      </c>
      <c r="E67" s="1">
        <v>1.0</v>
      </c>
      <c r="G67" s="1" t="str">
        <f t="shared" si="1"/>
        <v>2019 - French</v>
      </c>
      <c r="H67" s="1">
        <v>14.0</v>
      </c>
      <c r="I67" s="2">
        <f t="shared" ref="I67:K67" si="132">I66+D67</f>
        <v>20</v>
      </c>
      <c r="J67" s="2">
        <f t="shared" si="132"/>
        <v>18</v>
      </c>
      <c r="K67" s="2">
        <f t="shared" si="132"/>
        <v>15</v>
      </c>
      <c r="M67" s="2">
        <f t="shared" ref="M67:O67" si="133">-(max($H67:$K67)-I67)</f>
        <v>0</v>
      </c>
      <c r="N67" s="2">
        <f t="shared" si="133"/>
        <v>-2</v>
      </c>
      <c r="O67" s="2">
        <f t="shared" si="133"/>
        <v>-5</v>
      </c>
    </row>
    <row r="68">
      <c r="A68" s="2">
        <v>2019.0</v>
      </c>
      <c r="B68" s="2">
        <v>3.0</v>
      </c>
      <c r="C68" s="2" t="s">
        <v>12</v>
      </c>
      <c r="F68" s="1">
        <v>1.0</v>
      </c>
      <c r="G68" s="1" t="str">
        <f t="shared" si="1"/>
        <v>2019 - Wimbledon</v>
      </c>
      <c r="H68" s="1">
        <v>14.0</v>
      </c>
      <c r="I68" s="2">
        <f t="shared" ref="I68:K68" si="134">I67+D68</f>
        <v>20</v>
      </c>
      <c r="J68" s="2">
        <f t="shared" si="134"/>
        <v>18</v>
      </c>
      <c r="K68" s="2">
        <f t="shared" si="134"/>
        <v>16</v>
      </c>
      <c r="M68" s="2">
        <f t="shared" ref="M68:O68" si="135">-(max($H68:$K68)-I68)</f>
        <v>0</v>
      </c>
      <c r="N68" s="2">
        <f t="shared" si="135"/>
        <v>-2</v>
      </c>
      <c r="O68" s="2">
        <f t="shared" si="135"/>
        <v>-4</v>
      </c>
    </row>
    <row r="69">
      <c r="A69" s="2">
        <v>2019.0</v>
      </c>
      <c r="B69" s="2">
        <v>4.0</v>
      </c>
      <c r="C69" s="1" t="s">
        <v>13</v>
      </c>
      <c r="E69" s="1">
        <v>1.0</v>
      </c>
      <c r="G69" s="1" t="str">
        <f t="shared" si="1"/>
        <v>2019 - US</v>
      </c>
      <c r="H69" s="1">
        <v>14.0</v>
      </c>
      <c r="I69" s="2">
        <f t="shared" ref="I69:K69" si="136">I68+D69</f>
        <v>20</v>
      </c>
      <c r="J69" s="2">
        <f t="shared" si="136"/>
        <v>19</v>
      </c>
      <c r="K69" s="2">
        <f t="shared" si="136"/>
        <v>16</v>
      </c>
      <c r="M69" s="2">
        <f t="shared" ref="M69:O69" si="137">-(max($H69:$K69)-I69)</f>
        <v>0</v>
      </c>
      <c r="N69" s="2">
        <f t="shared" si="137"/>
        <v>-1</v>
      </c>
      <c r="O69" s="2">
        <f t="shared" si="137"/>
        <v>-4</v>
      </c>
    </row>
    <row r="70">
      <c r="A70" s="2">
        <v>2020.0</v>
      </c>
      <c r="B70" s="2">
        <v>1.0</v>
      </c>
      <c r="C70" s="1" t="s">
        <v>10</v>
      </c>
      <c r="F70" s="1">
        <v>1.0</v>
      </c>
      <c r="G70" s="1" t="str">
        <f t="shared" si="1"/>
        <v>2020 - Australian</v>
      </c>
      <c r="H70" s="1">
        <v>14.0</v>
      </c>
      <c r="I70" s="2">
        <f t="shared" ref="I70:K70" si="138">I69+D70</f>
        <v>20</v>
      </c>
      <c r="J70" s="2">
        <f t="shared" si="138"/>
        <v>19</v>
      </c>
      <c r="K70" s="2">
        <f t="shared" si="138"/>
        <v>17</v>
      </c>
      <c r="M70" s="2">
        <f t="shared" ref="M70:O70" si="139">-(max($H70:$K70)-I70)</f>
        <v>0</v>
      </c>
      <c r="N70" s="2">
        <f t="shared" si="139"/>
        <v>-1</v>
      </c>
      <c r="O70" s="2">
        <f t="shared" si="139"/>
        <v>-3</v>
      </c>
    </row>
    <row r="71">
      <c r="A71" s="2">
        <v>2020.0</v>
      </c>
      <c r="B71" s="1">
        <v>2.0</v>
      </c>
      <c r="C71" s="1" t="s">
        <v>13</v>
      </c>
      <c r="E71" s="1"/>
      <c r="G71" s="1" t="str">
        <f t="shared" si="1"/>
        <v>2020 - US</v>
      </c>
      <c r="H71" s="1">
        <v>14.0</v>
      </c>
      <c r="I71" s="2">
        <f t="shared" ref="I71:K71" si="140">I70+D71</f>
        <v>20</v>
      </c>
      <c r="J71" s="2">
        <f t="shared" si="140"/>
        <v>19</v>
      </c>
      <c r="K71" s="2">
        <f t="shared" si="140"/>
        <v>17</v>
      </c>
      <c r="M71" s="2">
        <f t="shared" ref="M71:O71" si="141">-(max($H71:$K71)-I71)</f>
        <v>0</v>
      </c>
      <c r="N71" s="2">
        <f t="shared" si="141"/>
        <v>-1</v>
      </c>
      <c r="O71" s="2">
        <f t="shared" si="141"/>
        <v>-3</v>
      </c>
    </row>
    <row r="72">
      <c r="A72" s="2">
        <v>2020.0</v>
      </c>
      <c r="B72" s="1">
        <v>3.0</v>
      </c>
      <c r="C72" s="1" t="s">
        <v>11</v>
      </c>
      <c r="E72" s="1">
        <v>1.0</v>
      </c>
      <c r="G72" s="1" t="str">
        <f t="shared" si="1"/>
        <v>2020 - French</v>
      </c>
      <c r="H72" s="1">
        <v>14.0</v>
      </c>
      <c r="I72" s="2">
        <f t="shared" ref="I72:K72" si="142">I71+D72</f>
        <v>20</v>
      </c>
      <c r="J72" s="2">
        <f t="shared" si="142"/>
        <v>20</v>
      </c>
      <c r="K72" s="2">
        <f t="shared" si="142"/>
        <v>17</v>
      </c>
      <c r="M72" s="2">
        <f t="shared" ref="M72:O72" si="143">-(max($H72:$K72)-I72)</f>
        <v>0</v>
      </c>
      <c r="N72" s="2">
        <f t="shared" si="143"/>
        <v>0</v>
      </c>
      <c r="O72" s="2">
        <f t="shared" si="143"/>
        <v>-3</v>
      </c>
    </row>
    <row r="73">
      <c r="A73" s="2">
        <v>2021.0</v>
      </c>
      <c r="B73" s="2">
        <v>1.0</v>
      </c>
      <c r="C73" s="1" t="s">
        <v>10</v>
      </c>
      <c r="F73" s="1">
        <v>1.0</v>
      </c>
      <c r="G73" s="1" t="str">
        <f t="shared" si="1"/>
        <v>2021 - Australian</v>
      </c>
      <c r="H73" s="1">
        <v>14.0</v>
      </c>
      <c r="I73" s="2">
        <f t="shared" ref="I73:K73" si="144">I72+D73</f>
        <v>20</v>
      </c>
      <c r="J73" s="2">
        <f t="shared" si="144"/>
        <v>20</v>
      </c>
      <c r="K73" s="2">
        <f t="shared" si="144"/>
        <v>18</v>
      </c>
      <c r="M73" s="2">
        <f t="shared" ref="M73:O73" si="145">-(max($H73:$K73)-I73)</f>
        <v>0</v>
      </c>
      <c r="N73" s="2">
        <f t="shared" si="145"/>
        <v>0</v>
      </c>
      <c r="O73" s="2">
        <f t="shared" si="145"/>
        <v>-2</v>
      </c>
    </row>
    <row r="74">
      <c r="A74" s="2">
        <v>2021.0</v>
      </c>
      <c r="B74" s="2">
        <v>2.0</v>
      </c>
      <c r="C74" s="1" t="s">
        <v>11</v>
      </c>
      <c r="F74" s="1">
        <v>1.0</v>
      </c>
      <c r="G74" s="1" t="str">
        <f t="shared" si="1"/>
        <v>2021 - French</v>
      </c>
      <c r="H74" s="1">
        <v>14.0</v>
      </c>
      <c r="I74" s="2">
        <f t="shared" ref="I74:K74" si="146">I73+D74</f>
        <v>20</v>
      </c>
      <c r="J74" s="2">
        <f t="shared" si="146"/>
        <v>20</v>
      </c>
      <c r="K74" s="2">
        <f t="shared" si="146"/>
        <v>19</v>
      </c>
      <c r="M74" s="2">
        <f t="shared" ref="M74:O74" si="147">-(max($H74:$K74)-I74)</f>
        <v>0</v>
      </c>
      <c r="N74" s="2">
        <f t="shared" si="147"/>
        <v>0</v>
      </c>
      <c r="O74" s="2">
        <f t="shared" si="147"/>
        <v>-1</v>
      </c>
    </row>
    <row r="75">
      <c r="A75" s="2">
        <v>2021.0</v>
      </c>
      <c r="B75" s="2">
        <v>3.0</v>
      </c>
      <c r="C75" s="2" t="s">
        <v>12</v>
      </c>
      <c r="F75" s="1">
        <v>1.0</v>
      </c>
      <c r="G75" s="1" t="str">
        <f t="shared" si="1"/>
        <v>2021 - Wimbledon</v>
      </c>
      <c r="H75" s="1">
        <v>14.0</v>
      </c>
      <c r="I75" s="2">
        <f t="shared" ref="I75:K75" si="148">I74+D75</f>
        <v>20</v>
      </c>
      <c r="J75" s="2">
        <f t="shared" si="148"/>
        <v>20</v>
      </c>
      <c r="K75" s="2">
        <f t="shared" si="148"/>
        <v>20</v>
      </c>
      <c r="M75" s="2">
        <f t="shared" ref="M75:O75" si="149">-(max($H75:$K75)-I75)</f>
        <v>0</v>
      </c>
      <c r="N75" s="2">
        <f t="shared" si="149"/>
        <v>0</v>
      </c>
      <c r="O75" s="2">
        <f t="shared" si="149"/>
        <v>0</v>
      </c>
    </row>
    <row r="76">
      <c r="A76" s="2">
        <v>2021.0</v>
      </c>
      <c r="B76" s="2">
        <v>4.0</v>
      </c>
      <c r="C76" s="1" t="s">
        <v>13</v>
      </c>
      <c r="G76" s="1" t="str">
        <f t="shared" si="1"/>
        <v>2021 - US</v>
      </c>
      <c r="H76" s="1">
        <v>14.0</v>
      </c>
      <c r="I76" s="2">
        <f t="shared" ref="I76:K76" si="150">I75+D76</f>
        <v>20</v>
      </c>
      <c r="J76" s="2">
        <f t="shared" si="150"/>
        <v>20</v>
      </c>
      <c r="K76" s="2">
        <f t="shared" si="150"/>
        <v>20</v>
      </c>
      <c r="M76" s="2">
        <f t="shared" ref="M76:O76" si="151">-(max($H76:$K76)-I76)</f>
        <v>0</v>
      </c>
      <c r="N76" s="2">
        <f t="shared" si="151"/>
        <v>0</v>
      </c>
      <c r="O76" s="2">
        <f t="shared" si="151"/>
        <v>0</v>
      </c>
    </row>
    <row r="77">
      <c r="A77" s="2">
        <v>2022.0</v>
      </c>
      <c r="B77" s="2">
        <v>1.0</v>
      </c>
      <c r="C77" s="1" t="s">
        <v>10</v>
      </c>
      <c r="E77" s="1">
        <v>1.0</v>
      </c>
      <c r="G77" s="1" t="str">
        <f t="shared" si="1"/>
        <v>2022 - Australian</v>
      </c>
      <c r="H77" s="1">
        <v>14.0</v>
      </c>
      <c r="I77" s="2">
        <f t="shared" ref="I77:K77" si="152">I76+D77</f>
        <v>20</v>
      </c>
      <c r="J77" s="2">
        <f t="shared" si="152"/>
        <v>21</v>
      </c>
      <c r="K77" s="2">
        <f t="shared" si="152"/>
        <v>20</v>
      </c>
      <c r="M77" s="2">
        <f t="shared" ref="M77:O77" si="153">-(max($H77:$K77)-I77)</f>
        <v>-1</v>
      </c>
      <c r="N77" s="2">
        <f t="shared" si="153"/>
        <v>0</v>
      </c>
      <c r="O77" s="2">
        <f t="shared" si="153"/>
        <v>-1</v>
      </c>
    </row>
    <row r="78">
      <c r="A78" s="2">
        <v>2022.0</v>
      </c>
      <c r="B78" s="2">
        <v>2.0</v>
      </c>
      <c r="C78" s="1" t="s">
        <v>11</v>
      </c>
      <c r="E78" s="1">
        <v>1.0</v>
      </c>
      <c r="G78" s="1" t="str">
        <f t="shared" si="1"/>
        <v>2022 - French</v>
      </c>
      <c r="H78" s="1">
        <v>14.0</v>
      </c>
      <c r="I78" s="2">
        <f t="shared" ref="I78:K78" si="154">I77+D78</f>
        <v>20</v>
      </c>
      <c r="J78" s="2">
        <f t="shared" si="154"/>
        <v>22</v>
      </c>
      <c r="K78" s="2">
        <f t="shared" si="154"/>
        <v>20</v>
      </c>
      <c r="M78" s="2">
        <f t="shared" ref="M78:O78" si="155">-(max($H78:$K78)-I78)</f>
        <v>-2</v>
      </c>
      <c r="N78" s="2">
        <f t="shared" si="155"/>
        <v>0</v>
      </c>
      <c r="O78" s="2">
        <f t="shared" si="155"/>
        <v>-2</v>
      </c>
    </row>
    <row r="79">
      <c r="A79" s="2">
        <v>2022.0</v>
      </c>
      <c r="B79" s="2">
        <v>3.0</v>
      </c>
      <c r="C79" s="2" t="s">
        <v>12</v>
      </c>
      <c r="F79" s="1">
        <v>1.0</v>
      </c>
      <c r="G79" s="1" t="str">
        <f t="shared" si="1"/>
        <v>2022 - Wimbledon</v>
      </c>
      <c r="H79" s="1">
        <v>14.0</v>
      </c>
      <c r="I79" s="2">
        <f t="shared" ref="I79:K79" si="156">I78+D79</f>
        <v>20</v>
      </c>
      <c r="J79" s="2">
        <f t="shared" si="156"/>
        <v>22</v>
      </c>
      <c r="K79" s="2">
        <f t="shared" si="156"/>
        <v>21</v>
      </c>
      <c r="M79" s="2">
        <f t="shared" ref="M79:O79" si="157">-(max($H79:$K79)-I79)</f>
        <v>-2</v>
      </c>
      <c r="N79" s="2">
        <f t="shared" si="157"/>
        <v>0</v>
      </c>
      <c r="O79" s="2">
        <f t="shared" si="157"/>
        <v>-1</v>
      </c>
    </row>
    <row r="80">
      <c r="A80" s="2">
        <v>2022.0</v>
      </c>
      <c r="B80" s="2">
        <v>4.0</v>
      </c>
      <c r="C80" s="1" t="s">
        <v>13</v>
      </c>
      <c r="G80" s="1" t="str">
        <f t="shared" si="1"/>
        <v>2022 - US</v>
      </c>
      <c r="H80" s="1">
        <v>14.0</v>
      </c>
      <c r="I80" s="2">
        <f t="shared" ref="I80:K80" si="158">I79+D80</f>
        <v>20</v>
      </c>
      <c r="J80" s="2">
        <f t="shared" si="158"/>
        <v>22</v>
      </c>
      <c r="K80" s="2">
        <f t="shared" si="158"/>
        <v>21</v>
      </c>
      <c r="M80" s="2">
        <f t="shared" ref="M80:O80" si="159">-(max($H80:$K80)-I80)</f>
        <v>-2</v>
      </c>
      <c r="N80" s="2">
        <f t="shared" si="159"/>
        <v>0</v>
      </c>
      <c r="O80" s="2">
        <f t="shared" si="159"/>
        <v>-1</v>
      </c>
    </row>
    <row r="81">
      <c r="A81" s="1">
        <v>2023.0</v>
      </c>
      <c r="B81" s="1">
        <v>1.0</v>
      </c>
      <c r="C81" s="1" t="s">
        <v>10</v>
      </c>
      <c r="F81" s="1">
        <v>1.0</v>
      </c>
      <c r="G81" s="1" t="str">
        <f t="shared" si="1"/>
        <v>2023 - Australian</v>
      </c>
      <c r="H81" s="1">
        <v>14.0</v>
      </c>
      <c r="I81" s="2">
        <f t="shared" ref="I81:K81" si="160">I80+D81</f>
        <v>20</v>
      </c>
      <c r="J81" s="2">
        <f t="shared" si="160"/>
        <v>22</v>
      </c>
      <c r="K81" s="2">
        <f t="shared" si="160"/>
        <v>22</v>
      </c>
      <c r="M81" s="2">
        <f t="shared" ref="M81:O81" si="161">-(max($H81:$K81)-I81)</f>
        <v>-2</v>
      </c>
      <c r="N81" s="2">
        <f t="shared" si="161"/>
        <v>0</v>
      </c>
      <c r="O81" s="2">
        <f t="shared" si="161"/>
        <v>0</v>
      </c>
    </row>
    <row r="82">
      <c r="A82" s="1">
        <v>2023.0</v>
      </c>
      <c r="B82" s="1">
        <v>2.0</v>
      </c>
      <c r="C82" s="1" t="s">
        <v>11</v>
      </c>
      <c r="F82" s="1">
        <v>1.0</v>
      </c>
      <c r="G82" s="1" t="str">
        <f t="shared" si="1"/>
        <v>2023 - French</v>
      </c>
      <c r="H82" s="1">
        <v>14.0</v>
      </c>
      <c r="I82" s="2">
        <f t="shared" ref="I82:K82" si="162">I81+D82</f>
        <v>20</v>
      </c>
      <c r="J82" s="2">
        <f t="shared" si="162"/>
        <v>22</v>
      </c>
      <c r="K82" s="2">
        <f t="shared" si="162"/>
        <v>23</v>
      </c>
      <c r="M82" s="2">
        <f t="shared" ref="M82:O82" si="163">-(max($H82:$K82)-I82)</f>
        <v>-3</v>
      </c>
      <c r="N82" s="2">
        <f t="shared" si="163"/>
        <v>-1</v>
      </c>
      <c r="O82" s="2">
        <f t="shared" si="163"/>
        <v>0</v>
      </c>
    </row>
    <row r="83">
      <c r="A83" s="1">
        <v>2023.0</v>
      </c>
      <c r="B83" s="1">
        <v>3.0</v>
      </c>
      <c r="C83" s="1" t="s">
        <v>12</v>
      </c>
      <c r="G83" s="1" t="str">
        <f t="shared" si="1"/>
        <v>2023 - Wimbledon</v>
      </c>
      <c r="H83" s="1">
        <v>14.0</v>
      </c>
      <c r="I83" s="2">
        <f t="shared" ref="I83:K83" si="164">I82+D83</f>
        <v>20</v>
      </c>
      <c r="J83" s="2">
        <f t="shared" si="164"/>
        <v>22</v>
      </c>
      <c r="K83" s="2">
        <f t="shared" si="164"/>
        <v>23</v>
      </c>
      <c r="M83" s="2">
        <f t="shared" ref="M83:O83" si="165">-(max($H83:$K83)-I83)</f>
        <v>-3</v>
      </c>
      <c r="N83" s="2">
        <f t="shared" si="165"/>
        <v>-1</v>
      </c>
      <c r="O83" s="2">
        <f t="shared" si="165"/>
        <v>0</v>
      </c>
    </row>
    <row r="84">
      <c r="A84" s="1">
        <v>2023.0</v>
      </c>
      <c r="B84" s="1">
        <v>4.0</v>
      </c>
      <c r="C84" s="1" t="s">
        <v>13</v>
      </c>
      <c r="F84" s="1">
        <v>1.0</v>
      </c>
      <c r="G84" s="1" t="str">
        <f t="shared" si="1"/>
        <v>2023 - US</v>
      </c>
      <c r="H84" s="1">
        <v>14.0</v>
      </c>
      <c r="I84" s="2">
        <f t="shared" ref="I84:K84" si="166">I83+D84</f>
        <v>20</v>
      </c>
      <c r="J84" s="2">
        <f t="shared" si="166"/>
        <v>22</v>
      </c>
      <c r="K84" s="2">
        <f t="shared" si="166"/>
        <v>24</v>
      </c>
      <c r="M84" s="2">
        <f t="shared" ref="M84:O84" si="167">-(max($H84:$K84)-I84)</f>
        <v>-4</v>
      </c>
      <c r="N84" s="2">
        <f t="shared" si="167"/>
        <v>-2</v>
      </c>
      <c r="O84" s="2">
        <f t="shared" si="167"/>
        <v>0</v>
      </c>
    </row>
  </sheetData>
  <autoFilter ref="$A$1:$K$8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E1" s="1" t="s">
        <v>17</v>
      </c>
    </row>
    <row r="2">
      <c r="E2" s="2">
        <f t="shared" ref="E2:E6" si="1">sum(B2:D2)</f>
        <v>18</v>
      </c>
    </row>
    <row r="3">
      <c r="E3" s="2">
        <f t="shared" si="1"/>
        <v>18</v>
      </c>
    </row>
    <row r="4">
      <c r="E4" s="2">
        <f t="shared" si="1"/>
        <v>13</v>
      </c>
    </row>
    <row r="5">
      <c r="E5" s="2">
        <f t="shared" si="1"/>
        <v>17</v>
      </c>
    </row>
    <row r="6">
      <c r="E6" s="2">
        <f t="shared" si="1"/>
        <v>66</v>
      </c>
    </row>
  </sheetData>
  <drawing r:id="rId2"/>
</worksheet>
</file>